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ault Analysis (Pivot)" sheetId="2" r:id="rId6"/>
    <sheet state="visible" name="Machine Dashboard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<sst xmlns="http://schemas.openxmlformats.org/spreadsheetml/2006/main" count="91" uniqueCount="33">
  <si>
    <t>Date</t>
  </si>
  <si>
    <t>Machine ID</t>
  </si>
  <si>
    <t>Equipment Type</t>
  </si>
  <si>
    <t>Engine Hours</t>
  </si>
  <si>
    <t>Oil Temp.</t>
  </si>
  <si>
    <t>Hydraulic Pressure</t>
  </si>
  <si>
    <t>Fuel Consumption</t>
  </si>
  <si>
    <t>Fault Codes</t>
  </si>
  <si>
    <t>Downtime Hours</t>
  </si>
  <si>
    <t>Maintenance Status</t>
  </si>
  <si>
    <t>Repair Cost</t>
  </si>
  <si>
    <t>OK</t>
  </si>
  <si>
    <t>Normal</t>
  </si>
  <si>
    <t>WARN</t>
  </si>
  <si>
    <t>Inspect</t>
  </si>
  <si>
    <t>FAULT</t>
  </si>
  <si>
    <t>Repair Needed</t>
  </si>
  <si>
    <t>CRITICAL</t>
  </si>
  <si>
    <t>Critical Repair</t>
  </si>
  <si>
    <t>COUNTA of Fault Codes</t>
  </si>
  <si>
    <t>Grand Total</t>
  </si>
  <si>
    <t>Equipment Condition Monitoring Dashboard</t>
  </si>
  <si>
    <t>Total Downtime (hrs)</t>
  </si>
  <si>
    <t>Total Repair Cost ($)</t>
  </si>
  <si>
    <t># of Fault Events</t>
  </si>
  <si>
    <t># of Critical Failures</t>
  </si>
  <si>
    <t>Avg Fuel Consumption</t>
  </si>
  <si>
    <t xml:space="preserve">Key Insights: </t>
  </si>
  <si>
    <t>────────────</t>
  </si>
  <si>
    <t xml:space="preserve">• Rising oil temperature trends preceded fault and critical failure events
</t>
  </si>
  <si>
    <t xml:space="preserve">• Downtime and repair costs increased significantly following fault escalation
</t>
  </si>
  <si>
    <t xml:space="preserve">• Fuel consumption increased alongside equipment stress, indicating reduced efficiency
</t>
  </si>
  <si>
    <t>• Early warning indicators (WARN status) suggest opportunity for predictive maintenance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</si>
</sst>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7.0"/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b/>
      <sz val="16.0"/>
      <color rgb="FF434343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Font="1"/>
    <xf borderId="0" fillId="0" fontId="2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" xfId="0" applyFont="1" applyNumberFormat="1"/>
    <xf borderId="0" fillId="0" fontId="4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6" numFmtId="0" xfId="0" applyAlignment="1" applyFont="1">
      <alignment readingOrder="0"/>
    </xf>
    <xf borderId="0" fillId="0" fontId="2" numFmtId="165" xfId="0" applyAlignment="1" applyFont="1" applyNumberFormat="1">
      <alignment horizontal="right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Fault Severity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'Fault Analysis (Pivot)'!$B$1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'Fault Analysis (Pivot)'!$A$2:$A$6</c:f>
            </c:strRef>
          </c:cat>
          <c:val>
            <c:numRef>
              <c:f>'Fault Analysis (Pivot)'!$B$2:$B$6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Oil Temperature Trend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Sheet1!$E$2:$E$1000</c:f>
              <c:numCache/>
            </c:numRef>
          </c:val>
          <c:smooth val="0"/>
        </c:ser>
        <c:axId val="645624476"/>
        <c:axId val="1142630225"/>
      </c:lineChart>
      <c:catAx>
        <c:axId val="645624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2630225"/>
      </c:catAx>
      <c:valAx>
        <c:axId val="1142630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Oil Temp.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624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Equipment Downtime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Sheet1!$I$2:$I$1000</c:f>
              <c:numCache/>
            </c:numRef>
          </c:val>
          <c:smooth val="0"/>
        </c:ser>
        <c:axId val="197639402"/>
        <c:axId val="752046532"/>
      </c:lineChart>
      <c:catAx>
        <c:axId val="197639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2046532"/>
      </c:catAx>
      <c:valAx>
        <c:axId val="752046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Downtime 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394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Repair Cost Impact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Sheet1!$K$1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Sheet1!$A$2:$A$1000</c:f>
            </c:strRef>
          </c:cat>
          <c:val>
            <c:numRef>
              <c:f>Sheet1!$K$2:$K$1000</c:f>
              <c:numCache/>
            </c:numRef>
          </c:val>
        </c:ser>
        <c:axId val="1796024951"/>
        <c:axId val="2018314486"/>
      </c:barChart>
      <c:catAx>
        <c:axId val="1796024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314486"/>
      </c:catAx>
      <c:valAx>
        <c:axId val="2018314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Repair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0249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Fault Severity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'Fault Analysis (Pivot)'!$B$1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'Fault Analysis (Pivot)'!$A$2:$A$6</c:f>
            </c:strRef>
          </c:cat>
          <c:val>
            <c:numRef>
              <c:f>'Fault Analysis (Pivot)'!$B$2:$B$6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7</xdr:row>
      <xdr:rowOff>180975</xdr:rowOff>
    </xdr:from>
    <xdr:ext cx="6210300" cy="3838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6</xdr:row>
      <xdr:rowOff>28575</xdr:rowOff>
    </xdr:from>
    <xdr:ext cx="3267075" cy="2019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12</xdr:row>
      <xdr:rowOff>9525</xdr:rowOff>
    </xdr:from>
    <xdr:ext cx="3295650" cy="2019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409575</xdr:colOff>
      <xdr:row>6</xdr:row>
      <xdr:rowOff>28575</xdr:rowOff>
    </xdr:from>
    <xdr:ext cx="3209925" cy="20193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409575</xdr:colOff>
      <xdr:row>12</xdr:row>
      <xdr:rowOff>9525</xdr:rowOff>
    </xdr:from>
    <xdr:ext cx="3209925" cy="20193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1:H1000" sheet="Sheet1"/>
  </cacheSource>
  <cacheFields>
    <cacheField name="Fault Codes" numFmtId="0">
      <sharedItems containsBlank="1">
        <s v="OK"/>
        <s v="WARN"/>
        <s v="FAULT"/>
        <s v="CRITICAL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ault Analysis (Pivot)" cacheId="0" dataCaption="" compact="0" compactData="0">
  <location ref="A1:B7" firstHeaderRow="0" firstDataRow="1" firstDataCol="0"/>
  <pivotFields>
    <pivotField name="Fault Codes" axis="axisRow" dataField="1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0"/>
  </rowFields>
  <dataFields>
    <dataField name="COUNTA of Fault Codes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9.0"/>
    <col customWidth="1" min="3" max="3" width="16.38"/>
    <col customWidth="1" min="4" max="4" width="14.25"/>
    <col customWidth="1" min="6" max="6" width="22.5"/>
    <col customWidth="1" min="7" max="7" width="21.0"/>
    <col customWidth="1" min="8" max="8" width="18.0"/>
    <col customWidth="1" min="9" max="9" width="19.25"/>
    <col customWidth="1" min="10" max="10" width="21.63"/>
    <col customWidth="1" min="11" max="11" width="16.5"/>
    <col hidden="1" min="12" max="17" width="1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</row>
    <row r="2">
      <c r="A2" s="5">
        <v>46143.0</v>
      </c>
      <c r="B2" s="6" t="str">
        <f t="shared" ref="B2:B31" si="1">INDEX({"CAT001","CAT002","CAT003","CAT004"}, MOD(ROW()-2,4)+1)</f>
        <v>CAT001</v>
      </c>
      <c r="C2" s="7" t="str">
        <f t="shared" ref="C2:C31" si="2">IF(B2="CAT001","Excavator",
 IF(B2="CAT002","Loader",
 IF(B2="CAT003","Bulldozer","Excavator")))</f>
        <v>Excavator</v>
      </c>
      <c r="D2" s="8">
        <v>1200.0</v>
      </c>
      <c r="E2" s="9">
        <v>195.0</v>
      </c>
      <c r="G2" s="10">
        <v>18.0</v>
      </c>
      <c r="H2" s="9" t="s">
        <v>11</v>
      </c>
      <c r="I2" s="10">
        <v>0.0</v>
      </c>
      <c r="J2" s="9" t="s">
        <v>12</v>
      </c>
      <c r="K2" s="9">
        <v>0.0</v>
      </c>
    </row>
    <row r="3">
      <c r="A3" s="5">
        <v>46144.0</v>
      </c>
      <c r="B3" s="6" t="str">
        <f t="shared" si="1"/>
        <v>CAT002</v>
      </c>
      <c r="C3" s="7" t="str">
        <f t="shared" si="2"/>
        <v>Loader</v>
      </c>
      <c r="D3" s="8">
        <v>1207.0</v>
      </c>
      <c r="E3" s="9">
        <v>196.0</v>
      </c>
      <c r="G3" s="10">
        <v>19.0</v>
      </c>
      <c r="H3" s="9" t="s">
        <v>11</v>
      </c>
      <c r="I3" s="10">
        <v>0.0</v>
      </c>
      <c r="J3" s="9" t="s">
        <v>12</v>
      </c>
      <c r="K3" s="9">
        <v>0.0</v>
      </c>
    </row>
    <row r="4">
      <c r="A4" s="5">
        <v>46145.0</v>
      </c>
      <c r="B4" s="6" t="str">
        <f t="shared" si="1"/>
        <v>CAT003</v>
      </c>
      <c r="C4" s="7" t="str">
        <f t="shared" si="2"/>
        <v>Bulldozer</v>
      </c>
      <c r="D4" s="8">
        <v>1215.0</v>
      </c>
      <c r="E4" s="9">
        <v>195.0</v>
      </c>
      <c r="G4" s="10">
        <v>18.0</v>
      </c>
      <c r="H4" s="9" t="s">
        <v>11</v>
      </c>
      <c r="I4" s="10">
        <v>0.0</v>
      </c>
      <c r="J4" s="9" t="s">
        <v>12</v>
      </c>
      <c r="K4" s="9">
        <v>0.0</v>
      </c>
    </row>
    <row r="5">
      <c r="A5" s="5">
        <v>46146.0</v>
      </c>
      <c r="B5" s="6" t="str">
        <f t="shared" si="1"/>
        <v>CAT004</v>
      </c>
      <c r="C5" s="7" t="str">
        <f t="shared" si="2"/>
        <v>Excavator</v>
      </c>
      <c r="D5" s="8">
        <v>1222.33333333333</v>
      </c>
      <c r="E5" s="9">
        <v>197.0</v>
      </c>
      <c r="G5" s="10">
        <v>20.0</v>
      </c>
      <c r="H5" s="9" t="s">
        <v>11</v>
      </c>
      <c r="I5" s="10">
        <v>0.0</v>
      </c>
      <c r="J5" s="9" t="s">
        <v>12</v>
      </c>
      <c r="K5" s="9">
        <v>0.0</v>
      </c>
    </row>
    <row r="6">
      <c r="A6" s="5">
        <v>46147.0</v>
      </c>
      <c r="B6" s="6" t="str">
        <f t="shared" si="1"/>
        <v>CAT001</v>
      </c>
      <c r="C6" s="7" t="str">
        <f t="shared" si="2"/>
        <v>Excavator</v>
      </c>
      <c r="D6" s="8">
        <v>1229.83333333333</v>
      </c>
      <c r="E6" s="9">
        <v>196.0</v>
      </c>
      <c r="G6" s="10">
        <v>19.0</v>
      </c>
      <c r="H6" s="9" t="s">
        <v>11</v>
      </c>
      <c r="I6" s="10">
        <v>0.0</v>
      </c>
      <c r="J6" s="9" t="s">
        <v>12</v>
      </c>
      <c r="K6" s="9">
        <v>0.0</v>
      </c>
    </row>
    <row r="7">
      <c r="A7" s="5">
        <v>46148.0</v>
      </c>
      <c r="B7" s="6" t="str">
        <f t="shared" si="1"/>
        <v>CAT002</v>
      </c>
      <c r="C7" s="7" t="str">
        <f t="shared" si="2"/>
        <v>Loader</v>
      </c>
      <c r="D7" s="8">
        <v>1237.33333333333</v>
      </c>
      <c r="E7" s="9">
        <v>195.0</v>
      </c>
      <c r="G7" s="10">
        <v>18.0</v>
      </c>
      <c r="H7" s="9" t="s">
        <v>11</v>
      </c>
      <c r="I7" s="10">
        <v>0.0</v>
      </c>
      <c r="J7" s="9" t="s">
        <v>12</v>
      </c>
      <c r="K7" s="9">
        <v>0.0</v>
      </c>
    </row>
    <row r="8">
      <c r="A8" s="5">
        <v>46149.0</v>
      </c>
      <c r="B8" s="6" t="str">
        <f t="shared" si="1"/>
        <v>CAT003</v>
      </c>
      <c r="C8" s="7" t="str">
        <f t="shared" si="2"/>
        <v>Bulldozer</v>
      </c>
      <c r="D8" s="8">
        <v>1244.83333333333</v>
      </c>
      <c r="E8" s="9">
        <v>198.0</v>
      </c>
      <c r="G8" s="10">
        <v>20.0</v>
      </c>
      <c r="H8" s="9" t="s">
        <v>11</v>
      </c>
      <c r="I8" s="10">
        <v>0.0</v>
      </c>
      <c r="J8" s="9" t="s">
        <v>12</v>
      </c>
      <c r="K8" s="9">
        <v>0.0</v>
      </c>
    </row>
    <row r="9">
      <c r="A9" s="5">
        <v>46150.0</v>
      </c>
      <c r="B9" s="6" t="str">
        <f t="shared" si="1"/>
        <v>CAT004</v>
      </c>
      <c r="C9" s="7" t="str">
        <f t="shared" si="2"/>
        <v>Excavator</v>
      </c>
      <c r="D9" s="8">
        <v>1252.33333333333</v>
      </c>
      <c r="E9" s="9">
        <v>197.0</v>
      </c>
      <c r="G9" s="10">
        <v>19.0</v>
      </c>
      <c r="H9" s="9" t="s">
        <v>11</v>
      </c>
      <c r="I9" s="10">
        <v>0.0</v>
      </c>
      <c r="J9" s="9" t="s">
        <v>12</v>
      </c>
      <c r="K9" s="9">
        <v>0.0</v>
      </c>
    </row>
    <row r="10">
      <c r="A10" s="5">
        <v>46151.0</v>
      </c>
      <c r="B10" s="6" t="str">
        <f t="shared" si="1"/>
        <v>CAT001</v>
      </c>
      <c r="C10" s="7" t="str">
        <f t="shared" si="2"/>
        <v>Excavator</v>
      </c>
      <c r="D10" s="8">
        <v>1259.83333333333</v>
      </c>
      <c r="E10" s="9">
        <v>196.0</v>
      </c>
      <c r="G10" s="10">
        <v>18.0</v>
      </c>
      <c r="H10" s="9" t="s">
        <v>11</v>
      </c>
      <c r="I10" s="10">
        <v>0.0</v>
      </c>
      <c r="J10" s="9" t="s">
        <v>12</v>
      </c>
      <c r="K10" s="9">
        <v>0.0</v>
      </c>
    </row>
    <row r="11">
      <c r="A11" s="5">
        <v>46152.0</v>
      </c>
      <c r="B11" s="6" t="str">
        <f t="shared" si="1"/>
        <v>CAT002</v>
      </c>
      <c r="C11" s="7" t="str">
        <f t="shared" si="2"/>
        <v>Loader</v>
      </c>
      <c r="D11" s="8">
        <v>1267.33333333333</v>
      </c>
      <c r="E11" s="9">
        <v>200.0</v>
      </c>
      <c r="G11" s="10">
        <v>21.0</v>
      </c>
      <c r="H11" s="9" t="s">
        <v>11</v>
      </c>
      <c r="I11" s="10">
        <v>0.0</v>
      </c>
      <c r="J11" s="9" t="s">
        <v>12</v>
      </c>
      <c r="K11" s="9">
        <v>0.0</v>
      </c>
    </row>
    <row r="12">
      <c r="A12" s="5">
        <v>46153.0</v>
      </c>
      <c r="B12" s="6" t="str">
        <f t="shared" si="1"/>
        <v>CAT003</v>
      </c>
      <c r="C12" s="7" t="str">
        <f t="shared" si="2"/>
        <v>Bulldozer</v>
      </c>
      <c r="D12" s="8">
        <v>1274.83333333333</v>
      </c>
      <c r="E12" s="9">
        <v>198.0</v>
      </c>
      <c r="G12" s="10">
        <v>20.0</v>
      </c>
      <c r="H12" s="9" t="s">
        <v>11</v>
      </c>
      <c r="I12" s="10">
        <v>0.0</v>
      </c>
      <c r="J12" s="9" t="s">
        <v>12</v>
      </c>
      <c r="K12" s="9">
        <v>0.0</v>
      </c>
    </row>
    <row r="13">
      <c r="A13" s="5">
        <v>46154.0</v>
      </c>
      <c r="B13" s="6" t="str">
        <f t="shared" si="1"/>
        <v>CAT004</v>
      </c>
      <c r="C13" s="7" t="str">
        <f t="shared" si="2"/>
        <v>Excavator</v>
      </c>
      <c r="D13" s="8">
        <v>1282.33333333333</v>
      </c>
      <c r="E13" s="9">
        <v>197.0</v>
      </c>
      <c r="G13" s="10">
        <v>19.0</v>
      </c>
      <c r="H13" s="9" t="s">
        <v>11</v>
      </c>
      <c r="I13" s="10">
        <v>0.0</v>
      </c>
      <c r="J13" s="9" t="s">
        <v>12</v>
      </c>
      <c r="K13" s="9">
        <v>0.0</v>
      </c>
    </row>
    <row r="14">
      <c r="A14" s="5">
        <v>46155.0</v>
      </c>
      <c r="B14" s="6" t="str">
        <f t="shared" si="1"/>
        <v>CAT001</v>
      </c>
      <c r="C14" s="7" t="str">
        <f t="shared" si="2"/>
        <v>Excavator</v>
      </c>
      <c r="D14" s="8">
        <v>1289.83333333333</v>
      </c>
      <c r="E14" s="9">
        <v>199.0</v>
      </c>
      <c r="G14" s="10">
        <v>21.0</v>
      </c>
      <c r="H14" s="9" t="s">
        <v>11</v>
      </c>
      <c r="I14" s="10">
        <v>0.0</v>
      </c>
      <c r="J14" s="9" t="s">
        <v>12</v>
      </c>
      <c r="K14" s="9">
        <v>0.0</v>
      </c>
    </row>
    <row r="15">
      <c r="A15" s="5">
        <v>46156.0</v>
      </c>
      <c r="B15" s="6" t="str">
        <f t="shared" si="1"/>
        <v>CAT002</v>
      </c>
      <c r="C15" s="7" t="str">
        <f t="shared" si="2"/>
        <v>Loader</v>
      </c>
      <c r="D15" s="8">
        <v>1297.33333333333</v>
      </c>
      <c r="E15" s="9">
        <v>205.0</v>
      </c>
      <c r="G15" s="10">
        <v>23.0</v>
      </c>
      <c r="H15" s="9" t="s">
        <v>13</v>
      </c>
      <c r="I15" s="10">
        <v>1.0</v>
      </c>
      <c r="J15" s="9" t="s">
        <v>14</v>
      </c>
      <c r="K15" s="9">
        <v>200.0</v>
      </c>
    </row>
    <row r="16">
      <c r="A16" s="5">
        <v>46157.0</v>
      </c>
      <c r="B16" s="6" t="str">
        <f t="shared" si="1"/>
        <v>CAT003</v>
      </c>
      <c r="C16" s="7" t="str">
        <f t="shared" si="2"/>
        <v>Bulldozer</v>
      </c>
      <c r="D16" s="8">
        <v>1304.83333333333</v>
      </c>
      <c r="E16" s="9">
        <v>198.0</v>
      </c>
      <c r="G16" s="10">
        <v>20.0</v>
      </c>
      <c r="H16" s="9" t="s">
        <v>11</v>
      </c>
      <c r="I16" s="10">
        <v>0.0</v>
      </c>
      <c r="J16" s="9" t="s">
        <v>12</v>
      </c>
      <c r="K16" s="9">
        <v>0.0</v>
      </c>
    </row>
    <row r="17">
      <c r="A17" s="5">
        <v>46158.0</v>
      </c>
      <c r="B17" s="6" t="str">
        <f t="shared" si="1"/>
        <v>CAT004</v>
      </c>
      <c r="C17" s="7" t="str">
        <f t="shared" si="2"/>
        <v>Excavator</v>
      </c>
      <c r="D17" s="8">
        <v>1312.33333333333</v>
      </c>
      <c r="E17" s="9">
        <v>197.0</v>
      </c>
      <c r="G17" s="10">
        <v>19.0</v>
      </c>
      <c r="H17" s="9" t="s">
        <v>11</v>
      </c>
      <c r="I17" s="10">
        <v>0.0</v>
      </c>
      <c r="J17" s="9" t="s">
        <v>12</v>
      </c>
      <c r="K17" s="9">
        <v>0.0</v>
      </c>
    </row>
    <row r="18">
      <c r="A18" s="5">
        <v>46159.0</v>
      </c>
      <c r="B18" s="6" t="str">
        <f t="shared" si="1"/>
        <v>CAT001</v>
      </c>
      <c r="C18" s="7" t="str">
        <f t="shared" si="2"/>
        <v>Excavator</v>
      </c>
      <c r="D18" s="8">
        <v>1319.83333333333</v>
      </c>
      <c r="E18" s="9">
        <v>200.0</v>
      </c>
      <c r="G18" s="10">
        <v>21.0</v>
      </c>
      <c r="H18" s="9" t="s">
        <v>11</v>
      </c>
      <c r="I18" s="10">
        <v>0.0</v>
      </c>
      <c r="J18" s="9" t="s">
        <v>12</v>
      </c>
      <c r="K18" s="9">
        <v>0.0</v>
      </c>
    </row>
    <row r="19">
      <c r="A19" s="5">
        <v>46160.0</v>
      </c>
      <c r="B19" s="6" t="str">
        <f t="shared" si="1"/>
        <v>CAT002</v>
      </c>
      <c r="C19" s="7" t="str">
        <f t="shared" si="2"/>
        <v>Loader</v>
      </c>
      <c r="D19" s="8">
        <v>1327.33333333333</v>
      </c>
      <c r="E19" s="9">
        <v>210.0</v>
      </c>
      <c r="G19" s="10">
        <v>25.0</v>
      </c>
      <c r="H19" s="9" t="s">
        <v>13</v>
      </c>
      <c r="I19" s="10">
        <v>2.0</v>
      </c>
      <c r="J19" s="9" t="s">
        <v>14</v>
      </c>
      <c r="K19" s="9">
        <v>400.0</v>
      </c>
    </row>
    <row r="20">
      <c r="A20" s="5">
        <v>46161.0</v>
      </c>
      <c r="B20" s="6" t="str">
        <f t="shared" si="1"/>
        <v>CAT003</v>
      </c>
      <c r="C20" s="7" t="str">
        <f t="shared" si="2"/>
        <v>Bulldozer</v>
      </c>
      <c r="D20" s="8">
        <v>1334.83333333333</v>
      </c>
      <c r="E20" s="9">
        <v>199.0</v>
      </c>
      <c r="G20" s="10">
        <v>20.0</v>
      </c>
      <c r="H20" s="9" t="s">
        <v>11</v>
      </c>
      <c r="I20" s="10">
        <v>0.0</v>
      </c>
      <c r="J20" s="9" t="s">
        <v>12</v>
      </c>
      <c r="K20" s="9">
        <v>0.0</v>
      </c>
    </row>
    <row r="21">
      <c r="A21" s="5">
        <v>46162.0</v>
      </c>
      <c r="B21" s="6" t="str">
        <f t="shared" si="1"/>
        <v>CAT004</v>
      </c>
      <c r="C21" s="7" t="str">
        <f t="shared" si="2"/>
        <v>Excavator</v>
      </c>
      <c r="D21" s="8">
        <v>1342.33333333333</v>
      </c>
      <c r="E21" s="9">
        <v>198.0</v>
      </c>
      <c r="G21" s="10">
        <v>19.0</v>
      </c>
      <c r="H21" s="9" t="s">
        <v>11</v>
      </c>
      <c r="I21" s="10">
        <v>0.0</v>
      </c>
      <c r="J21" s="9" t="s">
        <v>12</v>
      </c>
      <c r="K21" s="9">
        <v>0.0</v>
      </c>
    </row>
    <row r="22">
      <c r="A22" s="5">
        <v>46163.0</v>
      </c>
      <c r="B22" s="6" t="str">
        <f t="shared" si="1"/>
        <v>CAT001</v>
      </c>
      <c r="C22" s="7" t="str">
        <f t="shared" si="2"/>
        <v>Excavator</v>
      </c>
      <c r="D22" s="8">
        <v>1349.83333333333</v>
      </c>
      <c r="E22" s="9">
        <v>202.0</v>
      </c>
      <c r="G22" s="10">
        <v>22.0</v>
      </c>
      <c r="H22" s="9" t="s">
        <v>13</v>
      </c>
      <c r="I22" s="10">
        <v>2.0</v>
      </c>
      <c r="J22" s="9" t="s">
        <v>14</v>
      </c>
      <c r="K22" s="9">
        <v>500.0</v>
      </c>
    </row>
    <row r="23">
      <c r="A23" s="5">
        <v>46164.0</v>
      </c>
      <c r="B23" s="6" t="str">
        <f t="shared" si="1"/>
        <v>CAT002</v>
      </c>
      <c r="C23" s="7" t="str">
        <f t="shared" si="2"/>
        <v>Loader</v>
      </c>
      <c r="D23" s="8">
        <v>1357.33333333333</v>
      </c>
      <c r="E23" s="9">
        <v>220.0</v>
      </c>
      <c r="G23" s="10">
        <v>28.0</v>
      </c>
      <c r="H23" s="9" t="s">
        <v>15</v>
      </c>
      <c r="I23" s="10">
        <v>4.0</v>
      </c>
      <c r="J23" s="9" t="s">
        <v>16</v>
      </c>
      <c r="K23" s="9">
        <v>1200.0</v>
      </c>
    </row>
    <row r="24">
      <c r="A24" s="5">
        <v>46165.0</v>
      </c>
      <c r="B24" s="6" t="str">
        <f t="shared" si="1"/>
        <v>CAT003</v>
      </c>
      <c r="C24" s="7" t="str">
        <f t="shared" si="2"/>
        <v>Bulldozer</v>
      </c>
      <c r="D24" s="8">
        <v>1364.83333333333</v>
      </c>
      <c r="E24" s="9">
        <v>200.0</v>
      </c>
      <c r="G24" s="10">
        <v>21.0</v>
      </c>
      <c r="H24" s="9" t="s">
        <v>11</v>
      </c>
      <c r="I24" s="10">
        <v>0.0</v>
      </c>
      <c r="J24" s="9" t="s">
        <v>12</v>
      </c>
      <c r="K24" s="9">
        <v>0.0</v>
      </c>
    </row>
    <row r="25">
      <c r="A25" s="5">
        <v>46166.0</v>
      </c>
      <c r="B25" s="6" t="str">
        <f t="shared" si="1"/>
        <v>CAT004</v>
      </c>
      <c r="C25" s="7" t="str">
        <f t="shared" si="2"/>
        <v>Excavator</v>
      </c>
      <c r="D25" s="8">
        <v>1372.33333333333</v>
      </c>
      <c r="E25" s="9">
        <v>199.0</v>
      </c>
      <c r="G25" s="10">
        <v>20.0</v>
      </c>
      <c r="H25" s="9" t="s">
        <v>11</v>
      </c>
      <c r="I25" s="10">
        <v>0.0</v>
      </c>
      <c r="J25" s="9" t="s">
        <v>12</v>
      </c>
      <c r="K25" s="9">
        <v>0.0</v>
      </c>
    </row>
    <row r="26">
      <c r="A26" s="5">
        <v>46167.0</v>
      </c>
      <c r="B26" s="6" t="str">
        <f t="shared" si="1"/>
        <v>CAT001</v>
      </c>
      <c r="C26" s="7" t="str">
        <f t="shared" si="2"/>
        <v>Excavator</v>
      </c>
      <c r="D26" s="8">
        <v>1379.83333333333</v>
      </c>
      <c r="E26" s="9">
        <v>205.0</v>
      </c>
      <c r="G26" s="10">
        <v>23.0</v>
      </c>
      <c r="H26" s="9" t="s">
        <v>13</v>
      </c>
      <c r="I26" s="10">
        <v>3.0</v>
      </c>
      <c r="J26" s="9" t="s">
        <v>14</v>
      </c>
      <c r="K26" s="9">
        <v>800.0</v>
      </c>
    </row>
    <row r="27">
      <c r="A27" s="5">
        <v>46168.0</v>
      </c>
      <c r="B27" s="6" t="str">
        <f t="shared" si="1"/>
        <v>CAT002</v>
      </c>
      <c r="C27" s="7" t="str">
        <f t="shared" si="2"/>
        <v>Loader</v>
      </c>
      <c r="D27" s="8">
        <v>1387.33333333333</v>
      </c>
      <c r="E27" s="9">
        <v>230.0</v>
      </c>
      <c r="G27" s="10">
        <v>30.0</v>
      </c>
      <c r="H27" s="9" t="s">
        <v>15</v>
      </c>
      <c r="I27" s="10">
        <v>6.0</v>
      </c>
      <c r="J27" s="9" t="s">
        <v>16</v>
      </c>
      <c r="K27" s="9">
        <v>2000.0</v>
      </c>
    </row>
    <row r="28">
      <c r="A28" s="5">
        <v>46169.0</v>
      </c>
      <c r="B28" s="6" t="str">
        <f t="shared" si="1"/>
        <v>CAT003</v>
      </c>
      <c r="C28" s="7" t="str">
        <f t="shared" si="2"/>
        <v>Bulldozer</v>
      </c>
      <c r="D28" s="8">
        <v>1394.83333333333</v>
      </c>
      <c r="E28" s="9">
        <v>202.0</v>
      </c>
      <c r="G28" s="10">
        <v>21.0</v>
      </c>
      <c r="H28" s="9" t="s">
        <v>11</v>
      </c>
      <c r="I28" s="10">
        <v>0.0</v>
      </c>
      <c r="J28" s="9" t="s">
        <v>12</v>
      </c>
      <c r="K28" s="9">
        <v>0.0</v>
      </c>
    </row>
    <row r="29">
      <c r="A29" s="5">
        <v>46170.0</v>
      </c>
      <c r="B29" s="6" t="str">
        <f t="shared" si="1"/>
        <v>CAT004</v>
      </c>
      <c r="C29" s="7" t="str">
        <f t="shared" si="2"/>
        <v>Excavator</v>
      </c>
      <c r="D29" s="8">
        <v>1402.33333333333</v>
      </c>
      <c r="E29" s="9">
        <v>200.0</v>
      </c>
      <c r="G29" s="10">
        <v>20.0</v>
      </c>
      <c r="H29" s="9" t="s">
        <v>11</v>
      </c>
      <c r="I29" s="10">
        <v>0.0</v>
      </c>
      <c r="J29" s="9" t="s">
        <v>12</v>
      </c>
      <c r="K29" s="9">
        <v>0.0</v>
      </c>
    </row>
    <row r="30">
      <c r="A30" s="5">
        <v>46171.0</v>
      </c>
      <c r="B30" s="6" t="str">
        <f t="shared" si="1"/>
        <v>CAT001</v>
      </c>
      <c r="C30" s="7" t="str">
        <f t="shared" si="2"/>
        <v>Excavator</v>
      </c>
      <c r="D30" s="8">
        <v>1409.83333333333</v>
      </c>
      <c r="E30" s="9">
        <v>210.0</v>
      </c>
      <c r="G30" s="10">
        <v>24.0</v>
      </c>
      <c r="H30" s="9" t="s">
        <v>13</v>
      </c>
      <c r="I30" s="10">
        <v>4.0</v>
      </c>
      <c r="J30" s="9" t="s">
        <v>16</v>
      </c>
      <c r="K30" s="9">
        <v>1000.0</v>
      </c>
    </row>
    <row r="31">
      <c r="A31" s="5">
        <v>46172.0</v>
      </c>
      <c r="B31" s="6" t="str">
        <f t="shared" si="1"/>
        <v>CAT002</v>
      </c>
      <c r="C31" s="7" t="str">
        <f t="shared" si="2"/>
        <v>Loader</v>
      </c>
      <c r="D31" s="8">
        <v>1417.33333333333</v>
      </c>
      <c r="E31" s="9">
        <v>245.0</v>
      </c>
      <c r="G31" s="10">
        <v>35.0</v>
      </c>
      <c r="H31" s="9" t="s">
        <v>17</v>
      </c>
      <c r="I31" s="10">
        <v>8.0</v>
      </c>
      <c r="J31" s="9" t="s">
        <v>18</v>
      </c>
      <c r="K31" s="9">
        <v>3500.0</v>
      </c>
    </row>
    <row r="32">
      <c r="A32" s="5"/>
      <c r="B32" s="6"/>
      <c r="D32" s="8"/>
      <c r="G32" s="11"/>
      <c r="I32" s="10"/>
    </row>
    <row r="33">
      <c r="A33" s="11"/>
      <c r="D33" s="12"/>
      <c r="G33" s="11"/>
    </row>
    <row r="34">
      <c r="A34" s="11"/>
      <c r="D34" s="12"/>
      <c r="G34" s="11"/>
    </row>
    <row r="35">
      <c r="A35" s="11"/>
      <c r="D35" s="12"/>
      <c r="G35" s="11"/>
    </row>
    <row r="36">
      <c r="A36" s="11"/>
      <c r="D36" s="12"/>
      <c r="G36" s="11"/>
    </row>
    <row r="37">
      <c r="A37" s="11"/>
      <c r="D37" s="12"/>
      <c r="G37" s="11"/>
    </row>
    <row r="38">
      <c r="A38" s="11"/>
      <c r="D38" s="12"/>
      <c r="G38" s="11"/>
    </row>
    <row r="39">
      <c r="A39" s="11"/>
      <c r="D39" s="12"/>
      <c r="G39" s="11"/>
    </row>
    <row r="40">
      <c r="A40" s="11"/>
      <c r="D40" s="12"/>
      <c r="G40" s="11"/>
    </row>
    <row r="41">
      <c r="A41" s="11"/>
      <c r="D41" s="12"/>
      <c r="G41" s="11"/>
    </row>
    <row r="42">
      <c r="A42" s="11"/>
      <c r="D42" s="12"/>
      <c r="G42" s="11"/>
    </row>
    <row r="43">
      <c r="A43" s="11"/>
      <c r="D43" s="12"/>
      <c r="G43" s="11"/>
    </row>
    <row r="44">
      <c r="A44" s="11"/>
      <c r="D44" s="12"/>
      <c r="G44" s="11"/>
    </row>
    <row r="45">
      <c r="A45" s="11"/>
      <c r="D45" s="12"/>
      <c r="G45" s="11"/>
    </row>
    <row r="46">
      <c r="A46" s="11"/>
      <c r="D46" s="12"/>
      <c r="G46" s="11"/>
    </row>
    <row r="47">
      <c r="A47" s="11"/>
      <c r="D47" s="12"/>
      <c r="G47" s="11"/>
    </row>
    <row r="48">
      <c r="A48" s="11"/>
      <c r="D48" s="12"/>
      <c r="G48" s="11"/>
    </row>
    <row r="49">
      <c r="A49" s="11"/>
      <c r="D49" s="12"/>
      <c r="G49" s="11"/>
    </row>
    <row r="50">
      <c r="A50" s="11"/>
      <c r="D50" s="12"/>
      <c r="G50" s="11"/>
    </row>
    <row r="51">
      <c r="A51" s="11"/>
      <c r="D51" s="12"/>
      <c r="G51" s="11"/>
    </row>
    <row r="52">
      <c r="A52" s="11"/>
      <c r="D52" s="12"/>
      <c r="G52" s="11"/>
    </row>
    <row r="53">
      <c r="A53" s="11"/>
      <c r="D53" s="12"/>
      <c r="G53" s="11"/>
    </row>
    <row r="54">
      <c r="A54" s="11"/>
      <c r="D54" s="12"/>
      <c r="G54" s="11"/>
    </row>
    <row r="55">
      <c r="A55" s="11"/>
      <c r="D55" s="12"/>
      <c r="G55" s="11"/>
    </row>
    <row r="56">
      <c r="A56" s="11"/>
      <c r="D56" s="12"/>
      <c r="G56" s="11"/>
    </row>
    <row r="57">
      <c r="A57" s="11"/>
      <c r="D57" s="12"/>
      <c r="G57" s="11"/>
    </row>
    <row r="58">
      <c r="A58" s="11"/>
      <c r="D58" s="12"/>
      <c r="G58" s="11"/>
    </row>
    <row r="59">
      <c r="A59" s="11"/>
      <c r="D59" s="12"/>
      <c r="G59" s="11"/>
    </row>
    <row r="60">
      <c r="A60" s="11"/>
      <c r="D60" s="12"/>
      <c r="G60" s="11"/>
    </row>
    <row r="61">
      <c r="A61" s="11"/>
      <c r="D61" s="12"/>
      <c r="G61" s="11"/>
    </row>
    <row r="62">
      <c r="A62" s="11"/>
      <c r="D62" s="12"/>
      <c r="G62" s="11"/>
    </row>
    <row r="63">
      <c r="A63" s="11"/>
      <c r="D63" s="12"/>
      <c r="G63" s="11"/>
    </row>
    <row r="64">
      <c r="A64" s="11"/>
      <c r="D64" s="12"/>
      <c r="G64" s="11"/>
    </row>
    <row r="65">
      <c r="A65" s="11"/>
      <c r="D65" s="12"/>
      <c r="G65" s="11"/>
    </row>
    <row r="66">
      <c r="A66" s="11"/>
      <c r="D66" s="12"/>
      <c r="G66" s="11"/>
    </row>
    <row r="67">
      <c r="A67" s="11"/>
      <c r="D67" s="12"/>
      <c r="G67" s="11"/>
    </row>
    <row r="68">
      <c r="A68" s="11"/>
      <c r="D68" s="12"/>
      <c r="G68" s="11"/>
    </row>
    <row r="69">
      <c r="A69" s="11"/>
      <c r="D69" s="12"/>
      <c r="G69" s="11"/>
    </row>
    <row r="70">
      <c r="A70" s="11"/>
      <c r="D70" s="12"/>
      <c r="G70" s="11"/>
    </row>
    <row r="71">
      <c r="A71" s="11"/>
      <c r="D71" s="12"/>
      <c r="G71" s="11"/>
    </row>
    <row r="72">
      <c r="A72" s="11"/>
      <c r="D72" s="12"/>
      <c r="G72" s="11"/>
    </row>
    <row r="73">
      <c r="A73" s="11"/>
      <c r="D73" s="12"/>
      <c r="G73" s="11"/>
    </row>
    <row r="74">
      <c r="A74" s="11"/>
      <c r="D74" s="12"/>
      <c r="G74" s="11"/>
    </row>
    <row r="75">
      <c r="A75" s="11"/>
      <c r="D75" s="12"/>
      <c r="G75" s="11"/>
    </row>
    <row r="76">
      <c r="A76" s="11"/>
      <c r="D76" s="12"/>
      <c r="G76" s="11"/>
    </row>
    <row r="77">
      <c r="A77" s="11"/>
      <c r="D77" s="12"/>
      <c r="G77" s="11"/>
    </row>
    <row r="78">
      <c r="A78" s="11"/>
      <c r="D78" s="12"/>
      <c r="G78" s="11"/>
    </row>
    <row r="79">
      <c r="A79" s="11"/>
      <c r="D79" s="12"/>
      <c r="G79" s="11"/>
    </row>
    <row r="80">
      <c r="A80" s="11"/>
      <c r="D80" s="12"/>
      <c r="G80" s="11"/>
    </row>
    <row r="81">
      <c r="A81" s="11"/>
      <c r="D81" s="12"/>
      <c r="G81" s="11"/>
    </row>
    <row r="82">
      <c r="A82" s="11"/>
      <c r="D82" s="12"/>
      <c r="G82" s="11"/>
    </row>
    <row r="83">
      <c r="A83" s="11"/>
      <c r="D83" s="12"/>
      <c r="G83" s="11"/>
    </row>
    <row r="84">
      <c r="A84" s="11"/>
      <c r="D84" s="12"/>
      <c r="G84" s="11"/>
    </row>
    <row r="85">
      <c r="A85" s="11"/>
      <c r="D85" s="12"/>
      <c r="G85" s="11"/>
    </row>
    <row r="86">
      <c r="A86" s="11"/>
      <c r="D86" s="12"/>
      <c r="G86" s="11"/>
    </row>
    <row r="87">
      <c r="A87" s="11"/>
      <c r="D87" s="12"/>
      <c r="G87" s="11"/>
    </row>
    <row r="88">
      <c r="A88" s="11"/>
      <c r="D88" s="12"/>
      <c r="G88" s="11"/>
    </row>
    <row r="89">
      <c r="A89" s="11"/>
      <c r="D89" s="12"/>
      <c r="G89" s="11"/>
    </row>
    <row r="90">
      <c r="A90" s="11"/>
      <c r="D90" s="12"/>
      <c r="G90" s="11"/>
    </row>
    <row r="91">
      <c r="A91" s="11"/>
      <c r="D91" s="12"/>
      <c r="G91" s="11"/>
    </row>
    <row r="92">
      <c r="A92" s="11"/>
      <c r="D92" s="12"/>
      <c r="G92" s="11"/>
    </row>
    <row r="93">
      <c r="A93" s="11"/>
      <c r="D93" s="12"/>
      <c r="G93" s="11"/>
    </row>
    <row r="94">
      <c r="A94" s="11"/>
      <c r="D94" s="12"/>
      <c r="G94" s="11"/>
    </row>
    <row r="95">
      <c r="A95" s="11"/>
      <c r="D95" s="12"/>
      <c r="G95" s="11"/>
    </row>
    <row r="96">
      <c r="A96" s="11"/>
      <c r="D96" s="12"/>
      <c r="G96" s="11"/>
    </row>
    <row r="97">
      <c r="A97" s="11"/>
      <c r="D97" s="12"/>
      <c r="G97" s="11"/>
    </row>
    <row r="98">
      <c r="A98" s="11"/>
      <c r="D98" s="12"/>
      <c r="G98" s="11"/>
    </row>
    <row r="99">
      <c r="A99" s="11"/>
      <c r="D99" s="12"/>
      <c r="G99" s="11"/>
    </row>
    <row r="100">
      <c r="A100" s="11"/>
      <c r="D100" s="12"/>
      <c r="G100" s="11"/>
    </row>
    <row r="101">
      <c r="A101" s="11"/>
      <c r="D101" s="12"/>
      <c r="G101" s="11"/>
    </row>
    <row r="102">
      <c r="A102" s="11"/>
      <c r="D102" s="12"/>
      <c r="G102" s="11"/>
    </row>
    <row r="103">
      <c r="A103" s="11"/>
      <c r="D103" s="12"/>
      <c r="G103" s="11"/>
    </row>
    <row r="104">
      <c r="A104" s="11"/>
      <c r="D104" s="12"/>
      <c r="G104" s="11"/>
    </row>
    <row r="105">
      <c r="A105" s="11"/>
      <c r="D105" s="12"/>
      <c r="G105" s="11"/>
    </row>
    <row r="106">
      <c r="A106" s="11"/>
      <c r="D106" s="12"/>
      <c r="G106" s="11"/>
    </row>
    <row r="107">
      <c r="A107" s="11"/>
      <c r="D107" s="12"/>
      <c r="G107" s="11"/>
    </row>
    <row r="108">
      <c r="A108" s="11"/>
      <c r="D108" s="12"/>
      <c r="G108" s="11"/>
    </row>
    <row r="109">
      <c r="A109" s="11"/>
      <c r="D109" s="12"/>
      <c r="G109" s="11"/>
    </row>
    <row r="110">
      <c r="A110" s="11"/>
      <c r="D110" s="12"/>
      <c r="G110" s="11"/>
    </row>
    <row r="111">
      <c r="A111" s="11"/>
      <c r="D111" s="12"/>
      <c r="G111" s="11"/>
    </row>
    <row r="112">
      <c r="A112" s="11"/>
      <c r="D112" s="12"/>
      <c r="G112" s="11"/>
    </row>
    <row r="113">
      <c r="A113" s="11"/>
      <c r="D113" s="12"/>
      <c r="G113" s="11"/>
    </row>
    <row r="114">
      <c r="A114" s="11"/>
      <c r="D114" s="12"/>
      <c r="G114" s="11"/>
    </row>
    <row r="115">
      <c r="A115" s="11"/>
      <c r="D115" s="12"/>
      <c r="G115" s="11"/>
    </row>
    <row r="116">
      <c r="A116" s="11"/>
      <c r="D116" s="12"/>
      <c r="G116" s="11"/>
    </row>
    <row r="117">
      <c r="A117" s="11"/>
      <c r="D117" s="12"/>
      <c r="G117" s="11"/>
    </row>
    <row r="118">
      <c r="A118" s="11"/>
      <c r="D118" s="12"/>
      <c r="G118" s="11"/>
    </row>
    <row r="119">
      <c r="A119" s="11"/>
      <c r="D119" s="12"/>
      <c r="G119" s="11"/>
    </row>
    <row r="120">
      <c r="A120" s="11"/>
      <c r="D120" s="12"/>
      <c r="G120" s="11"/>
    </row>
    <row r="121">
      <c r="A121" s="11"/>
      <c r="D121" s="12"/>
      <c r="G121" s="11"/>
    </row>
    <row r="122">
      <c r="A122" s="11"/>
      <c r="D122" s="12"/>
      <c r="G122" s="11"/>
    </row>
    <row r="123">
      <c r="A123" s="11"/>
      <c r="D123" s="12"/>
      <c r="G123" s="11"/>
    </row>
    <row r="124">
      <c r="A124" s="11"/>
      <c r="D124" s="12"/>
      <c r="G124" s="11"/>
    </row>
    <row r="125">
      <c r="A125" s="11"/>
      <c r="D125" s="12"/>
      <c r="G125" s="11"/>
    </row>
    <row r="126">
      <c r="A126" s="11"/>
      <c r="D126" s="12"/>
      <c r="G126" s="11"/>
    </row>
    <row r="127">
      <c r="A127" s="11"/>
      <c r="D127" s="12"/>
      <c r="G127" s="11"/>
    </row>
    <row r="128">
      <c r="A128" s="11"/>
      <c r="D128" s="12"/>
      <c r="G128" s="11"/>
    </row>
    <row r="129">
      <c r="A129" s="11"/>
      <c r="D129" s="12"/>
      <c r="G129" s="11"/>
    </row>
    <row r="130">
      <c r="A130" s="11"/>
      <c r="D130" s="12"/>
      <c r="G130" s="11"/>
    </row>
    <row r="131">
      <c r="A131" s="11"/>
      <c r="D131" s="12"/>
      <c r="G131" s="11"/>
    </row>
    <row r="132">
      <c r="A132" s="11"/>
      <c r="D132" s="12"/>
      <c r="G132" s="11"/>
    </row>
    <row r="133">
      <c r="A133" s="11"/>
      <c r="D133" s="12"/>
      <c r="G133" s="11"/>
    </row>
    <row r="134">
      <c r="A134" s="11"/>
      <c r="D134" s="12"/>
      <c r="G134" s="11"/>
    </row>
    <row r="135">
      <c r="A135" s="11"/>
      <c r="D135" s="12"/>
      <c r="G135" s="11"/>
    </row>
    <row r="136">
      <c r="A136" s="11"/>
      <c r="D136" s="12"/>
      <c r="G136" s="11"/>
    </row>
    <row r="137">
      <c r="A137" s="11"/>
      <c r="D137" s="12"/>
      <c r="G137" s="11"/>
    </row>
    <row r="138">
      <c r="A138" s="11"/>
      <c r="D138" s="12"/>
      <c r="G138" s="11"/>
    </row>
    <row r="139">
      <c r="A139" s="11"/>
      <c r="D139" s="12"/>
      <c r="G139" s="11"/>
    </row>
    <row r="140">
      <c r="A140" s="11"/>
      <c r="D140" s="12"/>
      <c r="G140" s="11"/>
    </row>
    <row r="141">
      <c r="A141" s="11"/>
      <c r="D141" s="12"/>
      <c r="G141" s="11"/>
    </row>
    <row r="142">
      <c r="A142" s="11"/>
      <c r="D142" s="12"/>
      <c r="G142" s="11"/>
    </row>
    <row r="143">
      <c r="A143" s="11"/>
      <c r="D143" s="12"/>
      <c r="G143" s="11"/>
    </row>
    <row r="144">
      <c r="A144" s="11"/>
      <c r="D144" s="12"/>
      <c r="G144" s="11"/>
    </row>
    <row r="145">
      <c r="A145" s="11"/>
      <c r="D145" s="12"/>
      <c r="G145" s="11"/>
    </row>
    <row r="146">
      <c r="A146" s="11"/>
      <c r="D146" s="12"/>
      <c r="G146" s="11"/>
    </row>
    <row r="147">
      <c r="A147" s="11"/>
      <c r="D147" s="12"/>
      <c r="G147" s="11"/>
    </row>
    <row r="148">
      <c r="A148" s="11"/>
      <c r="D148" s="12"/>
      <c r="G148" s="11"/>
    </row>
    <row r="149">
      <c r="A149" s="11"/>
      <c r="D149" s="12"/>
      <c r="G149" s="11"/>
    </row>
    <row r="150">
      <c r="A150" s="11"/>
      <c r="D150" s="12"/>
      <c r="G150" s="11"/>
    </row>
    <row r="151">
      <c r="A151" s="11"/>
      <c r="D151" s="12"/>
      <c r="G151" s="11"/>
    </row>
    <row r="152">
      <c r="A152" s="11"/>
      <c r="D152" s="12"/>
      <c r="G152" s="11"/>
    </row>
    <row r="153">
      <c r="A153" s="11"/>
      <c r="D153" s="12"/>
      <c r="G153" s="11"/>
    </row>
    <row r="154">
      <c r="A154" s="11"/>
      <c r="D154" s="12"/>
      <c r="G154" s="11"/>
    </row>
    <row r="155">
      <c r="A155" s="11"/>
      <c r="D155" s="12"/>
      <c r="G155" s="11"/>
    </row>
    <row r="156">
      <c r="A156" s="11"/>
      <c r="D156" s="12"/>
      <c r="G156" s="11"/>
    </row>
    <row r="157">
      <c r="A157" s="11"/>
      <c r="D157" s="12"/>
      <c r="G157" s="11"/>
    </row>
    <row r="158">
      <c r="A158" s="11"/>
      <c r="D158" s="12"/>
      <c r="G158" s="11"/>
    </row>
    <row r="159">
      <c r="A159" s="11"/>
      <c r="D159" s="12"/>
      <c r="G159" s="11"/>
    </row>
    <row r="160">
      <c r="A160" s="11"/>
      <c r="D160" s="12"/>
      <c r="G160" s="11"/>
    </row>
    <row r="161">
      <c r="A161" s="11"/>
      <c r="D161" s="12"/>
      <c r="G161" s="11"/>
    </row>
    <row r="162">
      <c r="A162" s="11"/>
      <c r="D162" s="12"/>
      <c r="G162" s="11"/>
    </row>
    <row r="163">
      <c r="A163" s="11"/>
      <c r="D163" s="12"/>
      <c r="G163" s="11"/>
    </row>
    <row r="164">
      <c r="A164" s="11"/>
      <c r="D164" s="12"/>
      <c r="G164" s="11"/>
    </row>
    <row r="165">
      <c r="A165" s="11"/>
      <c r="D165" s="12"/>
      <c r="G165" s="11"/>
    </row>
    <row r="166">
      <c r="A166" s="11"/>
      <c r="D166" s="12"/>
      <c r="G166" s="11"/>
    </row>
    <row r="167">
      <c r="A167" s="11"/>
      <c r="D167" s="12"/>
      <c r="G167" s="11"/>
    </row>
    <row r="168">
      <c r="A168" s="11"/>
      <c r="D168" s="12"/>
      <c r="G168" s="11"/>
    </row>
    <row r="169">
      <c r="A169" s="11"/>
      <c r="D169" s="12"/>
      <c r="G169" s="11"/>
    </row>
    <row r="170">
      <c r="A170" s="11"/>
      <c r="D170" s="12"/>
      <c r="G170" s="11"/>
    </row>
    <row r="171">
      <c r="A171" s="11"/>
      <c r="D171" s="12"/>
      <c r="G171" s="11"/>
    </row>
    <row r="172">
      <c r="A172" s="11"/>
      <c r="D172" s="12"/>
      <c r="G172" s="11"/>
    </row>
    <row r="173">
      <c r="A173" s="11"/>
      <c r="D173" s="12"/>
      <c r="G173" s="11"/>
    </row>
    <row r="174">
      <c r="A174" s="11"/>
      <c r="D174" s="12"/>
      <c r="G174" s="11"/>
    </row>
    <row r="175">
      <c r="A175" s="11"/>
      <c r="D175" s="12"/>
      <c r="G175" s="11"/>
    </row>
    <row r="176">
      <c r="A176" s="11"/>
      <c r="D176" s="12"/>
      <c r="G176" s="11"/>
    </row>
    <row r="177">
      <c r="A177" s="11"/>
      <c r="D177" s="12"/>
      <c r="G177" s="11"/>
    </row>
    <row r="178">
      <c r="A178" s="11"/>
      <c r="D178" s="12"/>
      <c r="G178" s="11"/>
    </row>
    <row r="179">
      <c r="A179" s="11"/>
      <c r="D179" s="12"/>
      <c r="G179" s="11"/>
    </row>
    <row r="180">
      <c r="A180" s="11"/>
      <c r="D180" s="12"/>
      <c r="G180" s="11"/>
    </row>
    <row r="181">
      <c r="A181" s="11"/>
      <c r="D181" s="12"/>
      <c r="G181" s="11"/>
    </row>
    <row r="182">
      <c r="A182" s="11"/>
      <c r="D182" s="12"/>
      <c r="G182" s="11"/>
    </row>
    <row r="183">
      <c r="A183" s="11"/>
      <c r="D183" s="12"/>
      <c r="G183" s="11"/>
    </row>
    <row r="184">
      <c r="A184" s="11"/>
      <c r="D184" s="12"/>
      <c r="G184" s="11"/>
    </row>
    <row r="185">
      <c r="A185" s="11"/>
      <c r="D185" s="12"/>
      <c r="G185" s="11"/>
    </row>
    <row r="186">
      <c r="A186" s="11"/>
      <c r="D186" s="12"/>
      <c r="G186" s="11"/>
    </row>
    <row r="187">
      <c r="A187" s="11"/>
      <c r="D187" s="12"/>
      <c r="G187" s="11"/>
    </row>
    <row r="188">
      <c r="A188" s="11"/>
      <c r="D188" s="12"/>
      <c r="G188" s="11"/>
    </row>
    <row r="189">
      <c r="A189" s="11"/>
      <c r="D189" s="12"/>
      <c r="G189" s="11"/>
    </row>
    <row r="190">
      <c r="A190" s="11"/>
      <c r="D190" s="12"/>
      <c r="G190" s="11"/>
    </row>
    <row r="191">
      <c r="A191" s="11"/>
      <c r="D191" s="12"/>
      <c r="G191" s="11"/>
    </row>
    <row r="192">
      <c r="A192" s="11"/>
      <c r="D192" s="12"/>
      <c r="G192" s="11"/>
    </row>
    <row r="193">
      <c r="A193" s="11"/>
      <c r="D193" s="12"/>
      <c r="G193" s="11"/>
    </row>
    <row r="194">
      <c r="A194" s="11"/>
      <c r="D194" s="12"/>
      <c r="G194" s="11"/>
    </row>
    <row r="195">
      <c r="A195" s="11"/>
      <c r="D195" s="12"/>
      <c r="G195" s="11"/>
    </row>
    <row r="196">
      <c r="A196" s="11"/>
      <c r="D196" s="12"/>
      <c r="G196" s="11"/>
    </row>
    <row r="197">
      <c r="A197" s="11"/>
      <c r="D197" s="12"/>
      <c r="G197" s="11"/>
    </row>
    <row r="198">
      <c r="A198" s="11"/>
      <c r="D198" s="12"/>
      <c r="G198" s="11"/>
    </row>
    <row r="199">
      <c r="A199" s="11"/>
      <c r="D199" s="12"/>
      <c r="G199" s="11"/>
    </row>
    <row r="200">
      <c r="A200" s="11"/>
      <c r="D200" s="12"/>
      <c r="G200" s="11"/>
    </row>
    <row r="201">
      <c r="A201" s="11"/>
      <c r="D201" s="12"/>
      <c r="G201" s="11"/>
    </row>
    <row r="202">
      <c r="A202" s="11"/>
      <c r="D202" s="12"/>
      <c r="G202" s="11"/>
    </row>
    <row r="203">
      <c r="A203" s="11"/>
      <c r="D203" s="12"/>
      <c r="G203" s="11"/>
    </row>
    <row r="204">
      <c r="A204" s="11"/>
      <c r="D204" s="12"/>
      <c r="G204" s="11"/>
    </row>
    <row r="205">
      <c r="A205" s="11"/>
      <c r="D205" s="12"/>
      <c r="G205" s="11"/>
    </row>
    <row r="206">
      <c r="A206" s="11"/>
      <c r="D206" s="12"/>
      <c r="G206" s="11"/>
    </row>
    <row r="207">
      <c r="A207" s="11"/>
      <c r="D207" s="12"/>
      <c r="G207" s="11"/>
    </row>
    <row r="208">
      <c r="A208" s="11"/>
      <c r="D208" s="12"/>
      <c r="G208" s="11"/>
    </row>
    <row r="209">
      <c r="A209" s="11"/>
      <c r="D209" s="12"/>
      <c r="G209" s="11"/>
    </row>
    <row r="210">
      <c r="A210" s="11"/>
      <c r="D210" s="12"/>
      <c r="G210" s="11"/>
    </row>
    <row r="211">
      <c r="A211" s="11"/>
      <c r="D211" s="12"/>
      <c r="G211" s="11"/>
    </row>
    <row r="212">
      <c r="A212" s="11"/>
      <c r="D212" s="12"/>
      <c r="G212" s="11"/>
    </row>
    <row r="213">
      <c r="A213" s="11"/>
      <c r="D213" s="12"/>
      <c r="G213" s="11"/>
    </row>
    <row r="214">
      <c r="A214" s="11"/>
      <c r="D214" s="12"/>
      <c r="G214" s="11"/>
    </row>
    <row r="215">
      <c r="A215" s="11"/>
      <c r="D215" s="12"/>
      <c r="G215" s="11"/>
    </row>
    <row r="216">
      <c r="A216" s="11"/>
      <c r="D216" s="12"/>
      <c r="G216" s="11"/>
    </row>
    <row r="217">
      <c r="A217" s="11"/>
      <c r="D217" s="12"/>
      <c r="G217" s="11"/>
    </row>
    <row r="218">
      <c r="A218" s="11"/>
      <c r="D218" s="12"/>
      <c r="G218" s="11"/>
    </row>
    <row r="219">
      <c r="A219" s="11"/>
      <c r="D219" s="12"/>
      <c r="G219" s="11"/>
    </row>
    <row r="220">
      <c r="A220" s="11"/>
      <c r="D220" s="12"/>
      <c r="G220" s="11"/>
    </row>
    <row r="221">
      <c r="A221" s="11"/>
      <c r="D221" s="12"/>
      <c r="G221" s="11"/>
    </row>
    <row r="222">
      <c r="A222" s="11"/>
      <c r="D222" s="12"/>
      <c r="G222" s="11"/>
    </row>
    <row r="223">
      <c r="A223" s="11"/>
      <c r="D223" s="12"/>
      <c r="G223" s="11"/>
    </row>
    <row r="224">
      <c r="A224" s="11"/>
      <c r="D224" s="12"/>
      <c r="G224" s="11"/>
    </row>
    <row r="225">
      <c r="A225" s="11"/>
      <c r="D225" s="12"/>
      <c r="G225" s="11"/>
    </row>
    <row r="226">
      <c r="A226" s="11"/>
      <c r="D226" s="12"/>
      <c r="G226" s="11"/>
    </row>
    <row r="227">
      <c r="A227" s="11"/>
      <c r="D227" s="12"/>
      <c r="G227" s="11"/>
    </row>
    <row r="228">
      <c r="A228" s="11"/>
      <c r="D228" s="12"/>
      <c r="G228" s="11"/>
    </row>
    <row r="229">
      <c r="A229" s="11"/>
      <c r="D229" s="12"/>
      <c r="G229" s="11"/>
    </row>
    <row r="230">
      <c r="A230" s="11"/>
      <c r="D230" s="12"/>
      <c r="G230" s="11"/>
    </row>
    <row r="231">
      <c r="A231" s="11"/>
      <c r="D231" s="12"/>
      <c r="G231" s="11"/>
    </row>
    <row r="232">
      <c r="A232" s="11"/>
      <c r="D232" s="12"/>
      <c r="G232" s="11"/>
    </row>
    <row r="233">
      <c r="A233" s="11"/>
      <c r="D233" s="12"/>
      <c r="G233" s="11"/>
    </row>
    <row r="234">
      <c r="A234" s="11"/>
      <c r="D234" s="12"/>
      <c r="G234" s="11"/>
    </row>
    <row r="235">
      <c r="A235" s="11"/>
      <c r="D235" s="12"/>
      <c r="G235" s="11"/>
    </row>
    <row r="236">
      <c r="A236" s="11"/>
      <c r="D236" s="12"/>
      <c r="G236" s="11"/>
    </row>
    <row r="237">
      <c r="A237" s="11"/>
      <c r="D237" s="12"/>
      <c r="G237" s="11"/>
    </row>
    <row r="238">
      <c r="A238" s="11"/>
      <c r="D238" s="12"/>
      <c r="G238" s="11"/>
    </row>
    <row r="239">
      <c r="A239" s="11"/>
      <c r="D239" s="12"/>
      <c r="G239" s="11"/>
    </row>
    <row r="240">
      <c r="A240" s="11"/>
      <c r="D240" s="12"/>
      <c r="G240" s="11"/>
    </row>
    <row r="241">
      <c r="A241" s="11"/>
      <c r="D241" s="12"/>
      <c r="G241" s="11"/>
    </row>
    <row r="242">
      <c r="A242" s="11"/>
      <c r="D242" s="12"/>
      <c r="G242" s="11"/>
    </row>
    <row r="243">
      <c r="A243" s="11"/>
      <c r="D243" s="12"/>
      <c r="G243" s="11"/>
    </row>
    <row r="244">
      <c r="A244" s="11"/>
      <c r="D244" s="12"/>
      <c r="G244" s="11"/>
    </row>
    <row r="245">
      <c r="A245" s="11"/>
      <c r="D245" s="12"/>
      <c r="G245" s="11"/>
    </row>
    <row r="246">
      <c r="A246" s="11"/>
      <c r="D246" s="12"/>
      <c r="G246" s="11"/>
    </row>
    <row r="247">
      <c r="A247" s="11"/>
      <c r="D247" s="12"/>
      <c r="G247" s="11"/>
    </row>
    <row r="248">
      <c r="A248" s="11"/>
      <c r="D248" s="12"/>
      <c r="G248" s="11"/>
    </row>
    <row r="249">
      <c r="A249" s="11"/>
      <c r="D249" s="12"/>
      <c r="G249" s="11"/>
    </row>
    <row r="250">
      <c r="A250" s="11"/>
      <c r="D250" s="12"/>
      <c r="G250" s="11"/>
    </row>
    <row r="251">
      <c r="A251" s="11"/>
      <c r="D251" s="12"/>
      <c r="G251" s="11"/>
    </row>
    <row r="252">
      <c r="A252" s="11"/>
      <c r="D252" s="12"/>
      <c r="G252" s="11"/>
    </row>
    <row r="253">
      <c r="A253" s="11"/>
      <c r="D253" s="12"/>
      <c r="G253" s="11"/>
    </row>
    <row r="254">
      <c r="A254" s="11"/>
      <c r="D254" s="12"/>
      <c r="G254" s="11"/>
    </row>
    <row r="255">
      <c r="A255" s="11"/>
      <c r="D255" s="12"/>
      <c r="G255" s="11"/>
    </row>
    <row r="256">
      <c r="A256" s="11"/>
      <c r="D256" s="12"/>
      <c r="G256" s="11"/>
    </row>
    <row r="257">
      <c r="A257" s="11"/>
      <c r="D257" s="12"/>
      <c r="G257" s="11"/>
    </row>
    <row r="258">
      <c r="A258" s="11"/>
      <c r="D258" s="12"/>
      <c r="G258" s="11"/>
    </row>
    <row r="259">
      <c r="A259" s="11"/>
      <c r="D259" s="12"/>
      <c r="G259" s="11"/>
    </row>
    <row r="260">
      <c r="A260" s="11"/>
      <c r="D260" s="12"/>
      <c r="G260" s="11"/>
    </row>
    <row r="261">
      <c r="A261" s="11"/>
      <c r="D261" s="12"/>
      <c r="G261" s="11"/>
    </row>
    <row r="262">
      <c r="A262" s="11"/>
      <c r="D262" s="12"/>
      <c r="G262" s="11"/>
    </row>
    <row r="263">
      <c r="A263" s="11"/>
      <c r="D263" s="12"/>
      <c r="G263" s="11"/>
    </row>
    <row r="264">
      <c r="A264" s="11"/>
      <c r="D264" s="12"/>
      <c r="G264" s="11"/>
    </row>
    <row r="265">
      <c r="A265" s="11"/>
      <c r="D265" s="12"/>
      <c r="G265" s="11"/>
    </row>
    <row r="266">
      <c r="A266" s="11"/>
      <c r="D266" s="12"/>
      <c r="G266" s="11"/>
    </row>
    <row r="267">
      <c r="A267" s="11"/>
      <c r="D267" s="12"/>
      <c r="G267" s="11"/>
    </row>
    <row r="268">
      <c r="A268" s="11"/>
      <c r="D268" s="12"/>
      <c r="G268" s="11"/>
    </row>
    <row r="269">
      <c r="A269" s="11"/>
      <c r="D269" s="12"/>
      <c r="G269" s="11"/>
    </row>
    <row r="270">
      <c r="A270" s="11"/>
      <c r="D270" s="12"/>
      <c r="G270" s="11"/>
    </row>
    <row r="271">
      <c r="A271" s="11"/>
      <c r="D271" s="12"/>
      <c r="G271" s="11"/>
    </row>
    <row r="272">
      <c r="A272" s="11"/>
      <c r="D272" s="12"/>
      <c r="G272" s="11"/>
    </row>
    <row r="273">
      <c r="A273" s="11"/>
      <c r="D273" s="12"/>
      <c r="G273" s="11"/>
    </row>
    <row r="274">
      <c r="A274" s="11"/>
      <c r="D274" s="12"/>
      <c r="G274" s="11"/>
    </row>
    <row r="275">
      <c r="A275" s="11"/>
      <c r="D275" s="12"/>
      <c r="G275" s="11"/>
    </row>
    <row r="276">
      <c r="A276" s="11"/>
      <c r="D276" s="12"/>
      <c r="G276" s="11"/>
    </row>
    <row r="277">
      <c r="A277" s="11"/>
      <c r="D277" s="12"/>
      <c r="G277" s="11"/>
    </row>
    <row r="278">
      <c r="A278" s="11"/>
      <c r="D278" s="12"/>
      <c r="G278" s="11"/>
    </row>
    <row r="279">
      <c r="A279" s="11"/>
      <c r="D279" s="12"/>
      <c r="G279" s="11"/>
    </row>
    <row r="280">
      <c r="A280" s="11"/>
      <c r="D280" s="12"/>
      <c r="G280" s="11"/>
    </row>
    <row r="281">
      <c r="A281" s="11"/>
      <c r="D281" s="12"/>
      <c r="G281" s="11"/>
    </row>
    <row r="282">
      <c r="A282" s="11"/>
      <c r="D282" s="12"/>
      <c r="G282" s="11"/>
    </row>
    <row r="283">
      <c r="A283" s="11"/>
      <c r="D283" s="12"/>
      <c r="G283" s="11"/>
    </row>
    <row r="284">
      <c r="A284" s="11"/>
      <c r="D284" s="12"/>
      <c r="G284" s="11"/>
    </row>
    <row r="285">
      <c r="A285" s="11"/>
      <c r="D285" s="12"/>
      <c r="G285" s="11"/>
    </row>
    <row r="286">
      <c r="A286" s="11"/>
      <c r="D286" s="12"/>
      <c r="G286" s="11"/>
    </row>
    <row r="287">
      <c r="A287" s="11"/>
      <c r="D287" s="12"/>
      <c r="G287" s="11"/>
    </row>
    <row r="288">
      <c r="A288" s="11"/>
      <c r="D288" s="12"/>
      <c r="G288" s="11"/>
    </row>
    <row r="289">
      <c r="A289" s="11"/>
      <c r="D289" s="12"/>
      <c r="G289" s="11"/>
    </row>
    <row r="290">
      <c r="A290" s="11"/>
      <c r="D290" s="12"/>
      <c r="G290" s="11"/>
    </row>
    <row r="291">
      <c r="A291" s="11"/>
      <c r="D291" s="12"/>
      <c r="G291" s="11"/>
    </row>
    <row r="292">
      <c r="A292" s="11"/>
      <c r="D292" s="12"/>
      <c r="G292" s="11"/>
    </row>
    <row r="293">
      <c r="A293" s="11"/>
      <c r="D293" s="12"/>
      <c r="G293" s="11"/>
    </row>
    <row r="294">
      <c r="A294" s="11"/>
      <c r="D294" s="12"/>
      <c r="G294" s="11"/>
    </row>
    <row r="295">
      <c r="A295" s="11"/>
      <c r="D295" s="12"/>
      <c r="G295" s="11"/>
    </row>
    <row r="296">
      <c r="A296" s="11"/>
      <c r="D296" s="12"/>
      <c r="G296" s="11"/>
    </row>
    <row r="297">
      <c r="A297" s="11"/>
      <c r="D297" s="12"/>
      <c r="G297" s="11"/>
    </row>
    <row r="298">
      <c r="A298" s="11"/>
      <c r="D298" s="12"/>
      <c r="G298" s="11"/>
    </row>
    <row r="299">
      <c r="A299" s="11"/>
      <c r="D299" s="12"/>
      <c r="G299" s="11"/>
    </row>
    <row r="300">
      <c r="A300" s="11"/>
      <c r="D300" s="12"/>
      <c r="G300" s="11"/>
    </row>
    <row r="301">
      <c r="A301" s="11"/>
      <c r="D301" s="12"/>
      <c r="G301" s="11"/>
    </row>
    <row r="302">
      <c r="A302" s="11"/>
      <c r="D302" s="12"/>
      <c r="G302" s="11"/>
    </row>
    <row r="303">
      <c r="A303" s="11"/>
      <c r="D303" s="12"/>
      <c r="G303" s="11"/>
    </row>
    <row r="304">
      <c r="A304" s="11"/>
      <c r="D304" s="12"/>
      <c r="G304" s="11"/>
    </row>
    <row r="305">
      <c r="A305" s="11"/>
      <c r="D305" s="12"/>
      <c r="G305" s="11"/>
    </row>
    <row r="306">
      <c r="A306" s="11"/>
      <c r="D306" s="12"/>
      <c r="G306" s="11"/>
    </row>
    <row r="307">
      <c r="A307" s="11"/>
      <c r="D307" s="12"/>
      <c r="G307" s="11"/>
    </row>
    <row r="308">
      <c r="A308" s="11"/>
      <c r="D308" s="12"/>
      <c r="G308" s="11"/>
    </row>
    <row r="309">
      <c r="A309" s="11"/>
      <c r="D309" s="12"/>
      <c r="G309" s="11"/>
    </row>
    <row r="310">
      <c r="A310" s="11"/>
      <c r="D310" s="12"/>
      <c r="G310" s="11"/>
    </row>
    <row r="311">
      <c r="A311" s="11"/>
      <c r="D311" s="12"/>
      <c r="G311" s="11"/>
    </row>
    <row r="312">
      <c r="A312" s="11"/>
      <c r="D312" s="12"/>
      <c r="G312" s="11"/>
    </row>
    <row r="313">
      <c r="A313" s="11"/>
      <c r="D313" s="12"/>
      <c r="G313" s="11"/>
    </row>
    <row r="314">
      <c r="A314" s="11"/>
      <c r="D314" s="12"/>
      <c r="G314" s="11"/>
    </row>
    <row r="315">
      <c r="A315" s="11"/>
      <c r="D315" s="12"/>
      <c r="G315" s="11"/>
    </row>
    <row r="316">
      <c r="A316" s="11"/>
      <c r="D316" s="12"/>
      <c r="G316" s="11"/>
    </row>
    <row r="317">
      <c r="A317" s="11"/>
      <c r="D317" s="12"/>
      <c r="G317" s="11"/>
    </row>
    <row r="318">
      <c r="A318" s="11"/>
      <c r="D318" s="12"/>
      <c r="G318" s="11"/>
    </row>
    <row r="319">
      <c r="A319" s="11"/>
      <c r="D319" s="12"/>
      <c r="G319" s="11"/>
    </row>
    <row r="320">
      <c r="A320" s="11"/>
      <c r="D320" s="12"/>
      <c r="G320" s="11"/>
    </row>
    <row r="321">
      <c r="A321" s="11"/>
      <c r="D321" s="12"/>
      <c r="G321" s="11"/>
    </row>
    <row r="322">
      <c r="A322" s="11"/>
      <c r="D322" s="12"/>
      <c r="G322" s="11"/>
    </row>
    <row r="323">
      <c r="A323" s="11"/>
      <c r="D323" s="12"/>
      <c r="G323" s="11"/>
    </row>
    <row r="324">
      <c r="A324" s="11"/>
      <c r="D324" s="12"/>
      <c r="G324" s="11"/>
    </row>
    <row r="325">
      <c r="A325" s="11"/>
      <c r="D325" s="12"/>
      <c r="G325" s="11"/>
    </row>
    <row r="326">
      <c r="A326" s="11"/>
      <c r="D326" s="12"/>
      <c r="G326" s="11"/>
    </row>
    <row r="327">
      <c r="A327" s="11"/>
      <c r="D327" s="12"/>
      <c r="G327" s="11"/>
    </row>
    <row r="328">
      <c r="A328" s="11"/>
      <c r="D328" s="12"/>
      <c r="G328" s="11"/>
    </row>
    <row r="329">
      <c r="A329" s="11"/>
      <c r="D329" s="12"/>
      <c r="G329" s="11"/>
    </row>
    <row r="330">
      <c r="A330" s="11"/>
      <c r="D330" s="12"/>
      <c r="G330" s="11"/>
    </row>
    <row r="331">
      <c r="A331" s="11"/>
      <c r="D331" s="12"/>
      <c r="G331" s="11"/>
    </row>
    <row r="332">
      <c r="A332" s="11"/>
      <c r="D332" s="12"/>
      <c r="G332" s="11"/>
    </row>
    <row r="333">
      <c r="A333" s="11"/>
      <c r="D333" s="12"/>
      <c r="G333" s="11"/>
    </row>
    <row r="334">
      <c r="A334" s="11"/>
      <c r="D334" s="12"/>
      <c r="G334" s="11"/>
    </row>
    <row r="335">
      <c r="A335" s="11"/>
      <c r="D335" s="12"/>
      <c r="G335" s="11"/>
    </row>
    <row r="336">
      <c r="A336" s="11"/>
      <c r="D336" s="12"/>
      <c r="G336" s="11"/>
    </row>
    <row r="337">
      <c r="A337" s="11"/>
      <c r="D337" s="12"/>
      <c r="G337" s="11"/>
    </row>
    <row r="338">
      <c r="A338" s="11"/>
      <c r="D338" s="12"/>
      <c r="G338" s="11"/>
    </row>
    <row r="339">
      <c r="A339" s="11"/>
      <c r="D339" s="12"/>
      <c r="G339" s="11"/>
    </row>
    <row r="340">
      <c r="A340" s="11"/>
      <c r="D340" s="12"/>
      <c r="G340" s="11"/>
    </row>
    <row r="341">
      <c r="A341" s="11"/>
      <c r="D341" s="12"/>
      <c r="G341" s="11"/>
    </row>
    <row r="342">
      <c r="A342" s="11"/>
      <c r="D342" s="12"/>
      <c r="G342" s="11"/>
    </row>
    <row r="343">
      <c r="A343" s="11"/>
      <c r="D343" s="12"/>
      <c r="G343" s="11"/>
    </row>
    <row r="344">
      <c r="A344" s="11"/>
      <c r="D344" s="12"/>
      <c r="G344" s="11"/>
    </row>
    <row r="345">
      <c r="A345" s="11"/>
      <c r="D345" s="12"/>
      <c r="G345" s="11"/>
    </row>
    <row r="346">
      <c r="A346" s="11"/>
      <c r="D346" s="12"/>
      <c r="G346" s="11"/>
    </row>
    <row r="347">
      <c r="A347" s="11"/>
      <c r="D347" s="12"/>
      <c r="G347" s="11"/>
    </row>
    <row r="348">
      <c r="A348" s="11"/>
      <c r="D348" s="12"/>
      <c r="G348" s="11"/>
    </row>
    <row r="349">
      <c r="A349" s="11"/>
      <c r="D349" s="12"/>
      <c r="G349" s="11"/>
    </row>
    <row r="350">
      <c r="A350" s="11"/>
      <c r="D350" s="12"/>
      <c r="G350" s="11"/>
    </row>
    <row r="351">
      <c r="A351" s="11"/>
      <c r="D351" s="12"/>
      <c r="G351" s="11"/>
    </row>
    <row r="352">
      <c r="A352" s="11"/>
      <c r="D352" s="12"/>
      <c r="G352" s="11"/>
    </row>
    <row r="353">
      <c r="A353" s="11"/>
      <c r="D353" s="12"/>
      <c r="G353" s="11"/>
    </row>
    <row r="354">
      <c r="A354" s="11"/>
      <c r="D354" s="12"/>
      <c r="G354" s="11"/>
    </row>
    <row r="355">
      <c r="A355" s="11"/>
      <c r="D355" s="12"/>
      <c r="G355" s="11"/>
    </row>
    <row r="356">
      <c r="A356" s="11"/>
      <c r="D356" s="12"/>
      <c r="G356" s="11"/>
    </row>
    <row r="357">
      <c r="A357" s="11"/>
      <c r="D357" s="12"/>
      <c r="G357" s="11"/>
    </row>
    <row r="358">
      <c r="A358" s="11"/>
      <c r="D358" s="12"/>
      <c r="G358" s="11"/>
    </row>
    <row r="359">
      <c r="A359" s="11"/>
      <c r="D359" s="12"/>
      <c r="G359" s="11"/>
    </row>
    <row r="360">
      <c r="A360" s="11"/>
      <c r="D360" s="12"/>
      <c r="G360" s="11"/>
    </row>
    <row r="361">
      <c r="A361" s="11"/>
      <c r="D361" s="12"/>
      <c r="G361" s="11"/>
    </row>
    <row r="362">
      <c r="A362" s="11"/>
      <c r="D362" s="12"/>
      <c r="G362" s="11"/>
    </row>
    <row r="363">
      <c r="A363" s="11"/>
      <c r="D363" s="12"/>
      <c r="G363" s="11"/>
    </row>
    <row r="364">
      <c r="A364" s="11"/>
      <c r="D364" s="12"/>
      <c r="G364" s="11"/>
    </row>
    <row r="365">
      <c r="A365" s="11"/>
      <c r="D365" s="12"/>
      <c r="G365" s="11"/>
    </row>
    <row r="366">
      <c r="A366" s="11"/>
      <c r="D366" s="12"/>
      <c r="G366" s="11"/>
    </row>
    <row r="367">
      <c r="A367" s="11"/>
      <c r="D367" s="12"/>
      <c r="G367" s="11"/>
    </row>
    <row r="368">
      <c r="A368" s="11"/>
      <c r="D368" s="12"/>
      <c r="G368" s="11"/>
    </row>
    <row r="369">
      <c r="A369" s="11"/>
      <c r="D369" s="12"/>
      <c r="G369" s="11"/>
    </row>
    <row r="370">
      <c r="A370" s="11"/>
      <c r="D370" s="12"/>
      <c r="G370" s="11"/>
    </row>
    <row r="371">
      <c r="A371" s="11"/>
      <c r="D371" s="12"/>
      <c r="G371" s="11"/>
    </row>
    <row r="372">
      <c r="A372" s="11"/>
      <c r="D372" s="12"/>
      <c r="G372" s="11"/>
    </row>
    <row r="373">
      <c r="A373" s="11"/>
      <c r="D373" s="12"/>
      <c r="G373" s="11"/>
    </row>
    <row r="374">
      <c r="A374" s="11"/>
      <c r="D374" s="12"/>
      <c r="G374" s="11"/>
    </row>
    <row r="375">
      <c r="A375" s="11"/>
      <c r="D375" s="12"/>
      <c r="G375" s="11"/>
    </row>
    <row r="376">
      <c r="A376" s="11"/>
      <c r="D376" s="12"/>
      <c r="G376" s="11"/>
    </row>
    <row r="377">
      <c r="A377" s="11"/>
      <c r="D377" s="12"/>
      <c r="G377" s="11"/>
    </row>
    <row r="378">
      <c r="A378" s="11"/>
      <c r="D378" s="12"/>
      <c r="G378" s="11"/>
    </row>
    <row r="379">
      <c r="A379" s="11"/>
      <c r="D379" s="12"/>
      <c r="G379" s="11"/>
    </row>
    <row r="380">
      <c r="A380" s="11"/>
      <c r="D380" s="12"/>
      <c r="G380" s="11"/>
    </row>
    <row r="381">
      <c r="A381" s="11"/>
      <c r="D381" s="12"/>
      <c r="G381" s="11"/>
    </row>
    <row r="382">
      <c r="A382" s="11"/>
      <c r="D382" s="12"/>
      <c r="G382" s="11"/>
    </row>
    <row r="383">
      <c r="A383" s="11"/>
      <c r="D383" s="12"/>
      <c r="G383" s="11"/>
    </row>
    <row r="384">
      <c r="A384" s="11"/>
      <c r="D384" s="12"/>
      <c r="G384" s="11"/>
    </row>
    <row r="385">
      <c r="A385" s="11"/>
      <c r="D385" s="12"/>
      <c r="G385" s="11"/>
    </row>
    <row r="386">
      <c r="A386" s="11"/>
      <c r="D386" s="12"/>
      <c r="G386" s="11"/>
    </row>
    <row r="387">
      <c r="A387" s="11"/>
      <c r="D387" s="12"/>
      <c r="G387" s="11"/>
    </row>
    <row r="388">
      <c r="A388" s="11"/>
      <c r="D388" s="12"/>
      <c r="G388" s="11"/>
    </row>
    <row r="389">
      <c r="A389" s="11"/>
      <c r="D389" s="12"/>
      <c r="G389" s="11"/>
    </row>
    <row r="390">
      <c r="A390" s="11"/>
      <c r="D390" s="12"/>
      <c r="G390" s="11"/>
    </row>
    <row r="391">
      <c r="A391" s="11"/>
      <c r="D391" s="12"/>
      <c r="G391" s="11"/>
    </row>
    <row r="392">
      <c r="A392" s="11"/>
      <c r="D392" s="12"/>
      <c r="G392" s="11"/>
    </row>
    <row r="393">
      <c r="A393" s="11"/>
      <c r="D393" s="12"/>
      <c r="G393" s="11"/>
    </row>
    <row r="394">
      <c r="A394" s="11"/>
      <c r="D394" s="12"/>
      <c r="G394" s="11"/>
    </row>
    <row r="395">
      <c r="A395" s="11"/>
      <c r="D395" s="12"/>
      <c r="G395" s="11"/>
    </row>
    <row r="396">
      <c r="A396" s="11"/>
      <c r="D396" s="12"/>
      <c r="G396" s="11"/>
    </row>
    <row r="397">
      <c r="A397" s="11"/>
      <c r="D397" s="12"/>
      <c r="G397" s="11"/>
    </row>
    <row r="398">
      <c r="A398" s="11"/>
      <c r="D398" s="12"/>
      <c r="G398" s="11"/>
    </row>
    <row r="399">
      <c r="A399" s="11"/>
      <c r="D399" s="12"/>
      <c r="G399" s="11"/>
    </row>
    <row r="400">
      <c r="A400" s="11"/>
      <c r="D400" s="12"/>
      <c r="G400" s="11"/>
    </row>
    <row r="401">
      <c r="A401" s="11"/>
      <c r="D401" s="12"/>
      <c r="G401" s="11"/>
    </row>
    <row r="402">
      <c r="A402" s="11"/>
      <c r="D402" s="12"/>
      <c r="G402" s="11"/>
    </row>
    <row r="403">
      <c r="A403" s="11"/>
      <c r="D403" s="12"/>
      <c r="G403" s="11"/>
    </row>
    <row r="404">
      <c r="A404" s="11"/>
      <c r="D404" s="12"/>
      <c r="G404" s="11"/>
    </row>
    <row r="405">
      <c r="A405" s="11"/>
      <c r="D405" s="12"/>
      <c r="G405" s="11"/>
    </row>
    <row r="406">
      <c r="A406" s="11"/>
      <c r="D406" s="12"/>
      <c r="G406" s="11"/>
    </row>
    <row r="407">
      <c r="A407" s="11"/>
      <c r="D407" s="12"/>
      <c r="G407" s="11"/>
    </row>
    <row r="408">
      <c r="A408" s="11"/>
      <c r="D408" s="12"/>
      <c r="G408" s="11"/>
    </row>
    <row r="409">
      <c r="A409" s="11"/>
      <c r="D409" s="12"/>
      <c r="G409" s="11"/>
    </row>
    <row r="410">
      <c r="A410" s="11"/>
      <c r="D410" s="12"/>
      <c r="G410" s="11"/>
    </row>
    <row r="411">
      <c r="A411" s="11"/>
      <c r="D411" s="12"/>
      <c r="G411" s="11"/>
    </row>
    <row r="412">
      <c r="A412" s="11"/>
      <c r="D412" s="12"/>
      <c r="G412" s="11"/>
    </row>
    <row r="413">
      <c r="A413" s="11"/>
      <c r="D413" s="12"/>
      <c r="G413" s="11"/>
    </row>
    <row r="414">
      <c r="A414" s="11"/>
      <c r="D414" s="12"/>
      <c r="G414" s="11"/>
    </row>
    <row r="415">
      <c r="A415" s="11"/>
      <c r="D415" s="12"/>
      <c r="G415" s="11"/>
    </row>
    <row r="416">
      <c r="A416" s="11"/>
      <c r="D416" s="12"/>
      <c r="G416" s="11"/>
    </row>
    <row r="417">
      <c r="A417" s="11"/>
      <c r="D417" s="12"/>
      <c r="G417" s="11"/>
    </row>
    <row r="418">
      <c r="A418" s="11"/>
      <c r="D418" s="12"/>
      <c r="G418" s="11"/>
    </row>
    <row r="419">
      <c r="A419" s="11"/>
      <c r="D419" s="12"/>
      <c r="G419" s="11"/>
    </row>
    <row r="420">
      <c r="A420" s="11"/>
      <c r="D420" s="12"/>
      <c r="G420" s="11"/>
    </row>
    <row r="421">
      <c r="A421" s="11"/>
      <c r="D421" s="12"/>
      <c r="G421" s="11"/>
    </row>
    <row r="422">
      <c r="A422" s="11"/>
      <c r="D422" s="12"/>
      <c r="G422" s="11"/>
    </row>
    <row r="423">
      <c r="A423" s="11"/>
      <c r="D423" s="12"/>
      <c r="G423" s="11"/>
    </row>
    <row r="424">
      <c r="A424" s="11"/>
      <c r="D424" s="12"/>
      <c r="G424" s="11"/>
    </row>
    <row r="425">
      <c r="A425" s="11"/>
      <c r="D425" s="12"/>
      <c r="G425" s="11"/>
    </row>
    <row r="426">
      <c r="A426" s="11"/>
      <c r="D426" s="12"/>
      <c r="G426" s="11"/>
    </row>
    <row r="427">
      <c r="A427" s="11"/>
      <c r="D427" s="12"/>
      <c r="G427" s="11"/>
    </row>
    <row r="428">
      <c r="A428" s="11"/>
      <c r="D428" s="12"/>
      <c r="G428" s="11"/>
    </row>
    <row r="429">
      <c r="A429" s="11"/>
      <c r="D429" s="12"/>
      <c r="G429" s="11"/>
    </row>
    <row r="430">
      <c r="A430" s="11"/>
      <c r="D430" s="12"/>
      <c r="G430" s="11"/>
    </row>
    <row r="431">
      <c r="A431" s="11"/>
      <c r="D431" s="12"/>
      <c r="G431" s="11"/>
    </row>
    <row r="432">
      <c r="A432" s="11"/>
      <c r="D432" s="12"/>
      <c r="G432" s="11"/>
    </row>
    <row r="433">
      <c r="A433" s="11"/>
      <c r="D433" s="12"/>
      <c r="G433" s="11"/>
    </row>
    <row r="434">
      <c r="A434" s="11"/>
      <c r="D434" s="12"/>
      <c r="G434" s="11"/>
    </row>
    <row r="435">
      <c r="A435" s="11"/>
      <c r="D435" s="12"/>
      <c r="G435" s="11"/>
    </row>
    <row r="436">
      <c r="A436" s="11"/>
      <c r="D436" s="12"/>
      <c r="G436" s="11"/>
    </row>
    <row r="437">
      <c r="A437" s="11"/>
      <c r="D437" s="12"/>
      <c r="G437" s="11"/>
    </row>
    <row r="438">
      <c r="A438" s="11"/>
      <c r="D438" s="12"/>
      <c r="G438" s="11"/>
    </row>
    <row r="439">
      <c r="A439" s="11"/>
      <c r="D439" s="12"/>
      <c r="G439" s="11"/>
    </row>
    <row r="440">
      <c r="A440" s="11"/>
      <c r="D440" s="12"/>
      <c r="G440" s="11"/>
    </row>
    <row r="441">
      <c r="A441" s="11"/>
      <c r="D441" s="12"/>
      <c r="G441" s="11"/>
    </row>
    <row r="442">
      <c r="A442" s="11"/>
      <c r="D442" s="12"/>
      <c r="G442" s="11"/>
    </row>
    <row r="443">
      <c r="A443" s="11"/>
      <c r="D443" s="12"/>
      <c r="G443" s="11"/>
    </row>
    <row r="444">
      <c r="A444" s="11"/>
      <c r="D444" s="12"/>
      <c r="G444" s="11"/>
    </row>
    <row r="445">
      <c r="A445" s="11"/>
      <c r="D445" s="12"/>
      <c r="G445" s="11"/>
    </row>
    <row r="446">
      <c r="A446" s="11"/>
      <c r="D446" s="12"/>
      <c r="G446" s="11"/>
    </row>
    <row r="447">
      <c r="A447" s="11"/>
      <c r="D447" s="12"/>
      <c r="G447" s="11"/>
    </row>
    <row r="448">
      <c r="A448" s="11"/>
      <c r="D448" s="12"/>
      <c r="G448" s="11"/>
    </row>
    <row r="449">
      <c r="A449" s="11"/>
      <c r="D449" s="12"/>
      <c r="G449" s="11"/>
    </row>
    <row r="450">
      <c r="A450" s="11"/>
      <c r="D450" s="12"/>
      <c r="G450" s="11"/>
    </row>
    <row r="451">
      <c r="A451" s="11"/>
      <c r="D451" s="12"/>
      <c r="G451" s="11"/>
    </row>
    <row r="452">
      <c r="A452" s="11"/>
      <c r="D452" s="12"/>
      <c r="G452" s="11"/>
    </row>
    <row r="453">
      <c r="A453" s="11"/>
      <c r="D453" s="12"/>
      <c r="G453" s="11"/>
    </row>
    <row r="454">
      <c r="A454" s="11"/>
      <c r="D454" s="12"/>
      <c r="G454" s="11"/>
    </row>
    <row r="455">
      <c r="A455" s="11"/>
      <c r="D455" s="12"/>
      <c r="G455" s="11"/>
    </row>
    <row r="456">
      <c r="A456" s="11"/>
      <c r="D456" s="12"/>
      <c r="G456" s="11"/>
    </row>
    <row r="457">
      <c r="A457" s="11"/>
      <c r="D457" s="12"/>
      <c r="G457" s="11"/>
    </row>
    <row r="458">
      <c r="A458" s="11"/>
      <c r="D458" s="12"/>
      <c r="G458" s="11"/>
    </row>
    <row r="459">
      <c r="A459" s="11"/>
      <c r="D459" s="12"/>
      <c r="G459" s="11"/>
    </row>
    <row r="460">
      <c r="A460" s="11"/>
      <c r="D460" s="12"/>
      <c r="G460" s="11"/>
    </row>
    <row r="461">
      <c r="A461" s="11"/>
      <c r="D461" s="12"/>
      <c r="G461" s="11"/>
    </row>
    <row r="462">
      <c r="A462" s="11"/>
      <c r="D462" s="12"/>
      <c r="G462" s="11"/>
    </row>
    <row r="463">
      <c r="A463" s="11"/>
      <c r="D463" s="12"/>
      <c r="G463" s="11"/>
    </row>
    <row r="464">
      <c r="A464" s="11"/>
      <c r="D464" s="12"/>
      <c r="G464" s="11"/>
    </row>
    <row r="465">
      <c r="A465" s="11"/>
      <c r="D465" s="12"/>
      <c r="G465" s="11"/>
    </row>
    <row r="466">
      <c r="A466" s="11"/>
      <c r="D466" s="12"/>
      <c r="G466" s="11"/>
    </row>
    <row r="467">
      <c r="A467" s="11"/>
      <c r="D467" s="12"/>
      <c r="G467" s="11"/>
    </row>
    <row r="468">
      <c r="A468" s="11"/>
      <c r="D468" s="12"/>
      <c r="G468" s="11"/>
    </row>
    <row r="469">
      <c r="A469" s="11"/>
      <c r="D469" s="12"/>
      <c r="G469" s="11"/>
    </row>
    <row r="470">
      <c r="A470" s="11"/>
      <c r="D470" s="12"/>
      <c r="G470" s="11"/>
    </row>
    <row r="471">
      <c r="A471" s="11"/>
      <c r="D471" s="12"/>
      <c r="G471" s="11"/>
    </row>
    <row r="472">
      <c r="A472" s="11"/>
      <c r="D472" s="12"/>
      <c r="G472" s="11"/>
    </row>
    <row r="473">
      <c r="A473" s="11"/>
      <c r="D473" s="12"/>
      <c r="G473" s="11"/>
    </row>
    <row r="474">
      <c r="A474" s="11"/>
      <c r="D474" s="12"/>
      <c r="G474" s="11"/>
    </row>
    <row r="475">
      <c r="A475" s="11"/>
      <c r="D475" s="12"/>
      <c r="G475" s="11"/>
    </row>
    <row r="476">
      <c r="A476" s="11"/>
      <c r="D476" s="12"/>
      <c r="G476" s="11"/>
    </row>
    <row r="477">
      <c r="A477" s="11"/>
      <c r="D477" s="12"/>
      <c r="G477" s="11"/>
    </row>
    <row r="478">
      <c r="A478" s="11"/>
      <c r="D478" s="12"/>
      <c r="G478" s="11"/>
    </row>
    <row r="479">
      <c r="A479" s="11"/>
      <c r="D479" s="12"/>
      <c r="G479" s="11"/>
    </row>
    <row r="480">
      <c r="A480" s="11"/>
      <c r="D480" s="12"/>
      <c r="G480" s="11"/>
    </row>
    <row r="481">
      <c r="A481" s="11"/>
      <c r="D481" s="12"/>
      <c r="G481" s="11"/>
    </row>
    <row r="482">
      <c r="A482" s="11"/>
      <c r="D482" s="12"/>
      <c r="G482" s="11"/>
    </row>
    <row r="483">
      <c r="A483" s="11"/>
      <c r="D483" s="12"/>
      <c r="G483" s="11"/>
    </row>
    <row r="484">
      <c r="A484" s="11"/>
      <c r="D484" s="12"/>
      <c r="G484" s="11"/>
    </row>
    <row r="485">
      <c r="A485" s="11"/>
      <c r="D485" s="12"/>
      <c r="G485" s="11"/>
    </row>
    <row r="486">
      <c r="A486" s="11"/>
      <c r="D486" s="12"/>
      <c r="G486" s="11"/>
    </row>
    <row r="487">
      <c r="A487" s="11"/>
      <c r="D487" s="12"/>
      <c r="G487" s="11"/>
    </row>
    <row r="488">
      <c r="A488" s="11"/>
      <c r="D488" s="12"/>
      <c r="G488" s="11"/>
    </row>
    <row r="489">
      <c r="A489" s="11"/>
      <c r="D489" s="12"/>
      <c r="G489" s="11"/>
    </row>
    <row r="490">
      <c r="A490" s="11"/>
      <c r="D490" s="12"/>
      <c r="G490" s="11"/>
    </row>
    <row r="491">
      <c r="A491" s="11"/>
      <c r="D491" s="12"/>
      <c r="G491" s="11"/>
    </row>
    <row r="492">
      <c r="A492" s="11"/>
      <c r="D492" s="12"/>
      <c r="G492" s="11"/>
    </row>
    <row r="493">
      <c r="A493" s="11"/>
      <c r="D493" s="12"/>
      <c r="G493" s="11"/>
    </row>
    <row r="494">
      <c r="A494" s="11"/>
      <c r="D494" s="12"/>
      <c r="G494" s="11"/>
    </row>
    <row r="495">
      <c r="A495" s="11"/>
      <c r="D495" s="12"/>
      <c r="G495" s="11"/>
    </row>
    <row r="496">
      <c r="A496" s="11"/>
      <c r="D496" s="12"/>
      <c r="G496" s="11"/>
    </row>
    <row r="497">
      <c r="A497" s="11"/>
      <c r="D497" s="12"/>
      <c r="G497" s="11"/>
    </row>
    <row r="498">
      <c r="A498" s="11"/>
      <c r="D498" s="12"/>
      <c r="G498" s="11"/>
    </row>
    <row r="499">
      <c r="A499" s="11"/>
      <c r="D499" s="12"/>
      <c r="G499" s="11"/>
    </row>
    <row r="500">
      <c r="A500" s="11"/>
      <c r="D500" s="12"/>
      <c r="G500" s="11"/>
    </row>
    <row r="501">
      <c r="A501" s="11"/>
      <c r="D501" s="12"/>
      <c r="G501" s="11"/>
    </row>
    <row r="502">
      <c r="A502" s="11"/>
      <c r="D502" s="12"/>
      <c r="G502" s="11"/>
    </row>
    <row r="503">
      <c r="A503" s="11"/>
      <c r="D503" s="12"/>
      <c r="G503" s="11"/>
    </row>
    <row r="504">
      <c r="A504" s="11"/>
      <c r="D504" s="12"/>
      <c r="G504" s="11"/>
    </row>
    <row r="505">
      <c r="A505" s="11"/>
      <c r="D505" s="12"/>
      <c r="G505" s="11"/>
    </row>
    <row r="506">
      <c r="A506" s="11"/>
      <c r="D506" s="12"/>
      <c r="G506" s="11"/>
    </row>
    <row r="507">
      <c r="A507" s="11"/>
      <c r="D507" s="12"/>
      <c r="G507" s="11"/>
    </row>
    <row r="508">
      <c r="A508" s="11"/>
      <c r="D508" s="12"/>
      <c r="G508" s="11"/>
    </row>
    <row r="509">
      <c r="A509" s="11"/>
      <c r="D509" s="12"/>
      <c r="G509" s="11"/>
    </row>
    <row r="510">
      <c r="A510" s="11"/>
      <c r="D510" s="12"/>
      <c r="G510" s="11"/>
    </row>
    <row r="511">
      <c r="A511" s="11"/>
      <c r="D511" s="12"/>
      <c r="G511" s="11"/>
    </row>
    <row r="512">
      <c r="A512" s="11"/>
      <c r="D512" s="12"/>
      <c r="G512" s="11"/>
    </row>
    <row r="513">
      <c r="A513" s="11"/>
      <c r="D513" s="12"/>
      <c r="G513" s="11"/>
    </row>
    <row r="514">
      <c r="A514" s="11"/>
      <c r="D514" s="12"/>
      <c r="G514" s="11"/>
    </row>
    <row r="515">
      <c r="A515" s="11"/>
      <c r="D515" s="12"/>
      <c r="G515" s="11"/>
    </row>
    <row r="516">
      <c r="A516" s="11"/>
      <c r="D516" s="12"/>
      <c r="G516" s="11"/>
    </row>
    <row r="517">
      <c r="A517" s="11"/>
      <c r="D517" s="12"/>
      <c r="G517" s="11"/>
    </row>
    <row r="518">
      <c r="A518" s="11"/>
      <c r="D518" s="12"/>
      <c r="G518" s="11"/>
    </row>
    <row r="519">
      <c r="A519" s="11"/>
      <c r="D519" s="12"/>
      <c r="G519" s="11"/>
    </row>
    <row r="520">
      <c r="A520" s="11"/>
      <c r="D520" s="12"/>
      <c r="G520" s="11"/>
    </row>
    <row r="521">
      <c r="A521" s="11"/>
      <c r="D521" s="12"/>
      <c r="G521" s="11"/>
    </row>
    <row r="522">
      <c r="A522" s="11"/>
      <c r="D522" s="12"/>
      <c r="G522" s="11"/>
    </row>
    <row r="523">
      <c r="A523" s="11"/>
      <c r="D523" s="12"/>
      <c r="G523" s="11"/>
    </row>
    <row r="524">
      <c r="A524" s="11"/>
      <c r="D524" s="12"/>
      <c r="G524" s="11"/>
    </row>
    <row r="525">
      <c r="A525" s="11"/>
      <c r="D525" s="12"/>
      <c r="G525" s="11"/>
    </row>
    <row r="526">
      <c r="A526" s="11"/>
      <c r="D526" s="12"/>
      <c r="G526" s="11"/>
    </row>
    <row r="527">
      <c r="A527" s="11"/>
      <c r="D527" s="12"/>
      <c r="G527" s="11"/>
    </row>
    <row r="528">
      <c r="A528" s="11"/>
      <c r="D528" s="12"/>
      <c r="G528" s="11"/>
    </row>
    <row r="529">
      <c r="A529" s="11"/>
      <c r="D529" s="12"/>
      <c r="G529" s="11"/>
    </row>
    <row r="530">
      <c r="A530" s="11"/>
      <c r="D530" s="12"/>
      <c r="G530" s="11"/>
    </row>
    <row r="531">
      <c r="A531" s="11"/>
      <c r="D531" s="12"/>
      <c r="G531" s="11"/>
    </row>
    <row r="532">
      <c r="A532" s="11"/>
      <c r="D532" s="12"/>
      <c r="G532" s="11"/>
    </row>
    <row r="533">
      <c r="A533" s="11"/>
      <c r="D533" s="12"/>
      <c r="G533" s="11"/>
    </row>
    <row r="534">
      <c r="A534" s="11"/>
      <c r="D534" s="12"/>
      <c r="G534" s="11"/>
    </row>
    <row r="535">
      <c r="A535" s="11"/>
      <c r="D535" s="12"/>
      <c r="G535" s="11"/>
    </row>
    <row r="536">
      <c r="A536" s="11"/>
      <c r="D536" s="12"/>
      <c r="G536" s="11"/>
    </row>
    <row r="537">
      <c r="A537" s="11"/>
      <c r="D537" s="12"/>
      <c r="G537" s="11"/>
    </row>
    <row r="538">
      <c r="A538" s="11"/>
      <c r="D538" s="12"/>
      <c r="G538" s="11"/>
    </row>
    <row r="539">
      <c r="A539" s="11"/>
      <c r="D539" s="12"/>
      <c r="G539" s="11"/>
    </row>
    <row r="540">
      <c r="A540" s="11"/>
      <c r="D540" s="12"/>
      <c r="G540" s="11"/>
    </row>
    <row r="541">
      <c r="A541" s="11"/>
      <c r="D541" s="12"/>
      <c r="G541" s="11"/>
    </row>
    <row r="542">
      <c r="A542" s="11"/>
      <c r="D542" s="12"/>
      <c r="G542" s="11"/>
    </row>
    <row r="543">
      <c r="A543" s="11"/>
      <c r="D543" s="12"/>
      <c r="G543" s="11"/>
    </row>
    <row r="544">
      <c r="A544" s="11"/>
      <c r="D544" s="12"/>
      <c r="G544" s="11"/>
    </row>
    <row r="545">
      <c r="A545" s="11"/>
      <c r="D545" s="12"/>
      <c r="G545" s="11"/>
    </row>
    <row r="546">
      <c r="A546" s="11"/>
      <c r="D546" s="12"/>
      <c r="G546" s="11"/>
    </row>
    <row r="547">
      <c r="A547" s="11"/>
      <c r="D547" s="12"/>
      <c r="G547" s="11"/>
    </row>
    <row r="548">
      <c r="A548" s="11"/>
      <c r="D548" s="12"/>
      <c r="G548" s="11"/>
    </row>
    <row r="549">
      <c r="A549" s="11"/>
      <c r="D549" s="12"/>
      <c r="G549" s="11"/>
    </row>
    <row r="550">
      <c r="A550" s="11"/>
      <c r="D550" s="12"/>
      <c r="G550" s="11"/>
    </row>
    <row r="551">
      <c r="A551" s="11"/>
      <c r="D551" s="12"/>
      <c r="G551" s="11"/>
    </row>
    <row r="552">
      <c r="A552" s="11"/>
      <c r="D552" s="12"/>
      <c r="G552" s="11"/>
    </row>
    <row r="553">
      <c r="A553" s="11"/>
      <c r="D553" s="12"/>
      <c r="G553" s="11"/>
    </row>
    <row r="554">
      <c r="A554" s="11"/>
      <c r="D554" s="12"/>
      <c r="G554" s="11"/>
    </row>
    <row r="555">
      <c r="A555" s="11"/>
      <c r="D555" s="12"/>
      <c r="G555" s="11"/>
    </row>
    <row r="556">
      <c r="A556" s="11"/>
      <c r="D556" s="12"/>
      <c r="G556" s="11"/>
    </row>
    <row r="557">
      <c r="A557" s="11"/>
      <c r="D557" s="12"/>
      <c r="G557" s="11"/>
    </row>
    <row r="558">
      <c r="A558" s="11"/>
      <c r="D558" s="12"/>
      <c r="G558" s="11"/>
    </row>
    <row r="559">
      <c r="A559" s="11"/>
      <c r="D559" s="12"/>
      <c r="G559" s="11"/>
    </row>
    <row r="560">
      <c r="A560" s="11"/>
      <c r="D560" s="12"/>
      <c r="G560" s="11"/>
    </row>
    <row r="561">
      <c r="A561" s="11"/>
      <c r="D561" s="12"/>
      <c r="G561" s="11"/>
    </row>
    <row r="562">
      <c r="A562" s="11"/>
      <c r="D562" s="12"/>
      <c r="G562" s="11"/>
    </row>
    <row r="563">
      <c r="A563" s="11"/>
      <c r="D563" s="12"/>
      <c r="G563" s="11"/>
    </row>
    <row r="564">
      <c r="A564" s="11"/>
      <c r="D564" s="12"/>
      <c r="G564" s="11"/>
    </row>
    <row r="565">
      <c r="A565" s="11"/>
      <c r="D565" s="12"/>
      <c r="G565" s="11"/>
    </row>
    <row r="566">
      <c r="A566" s="11"/>
      <c r="D566" s="12"/>
      <c r="G566" s="11"/>
    </row>
    <row r="567">
      <c r="A567" s="11"/>
      <c r="D567" s="12"/>
      <c r="G567" s="11"/>
    </row>
    <row r="568">
      <c r="A568" s="11"/>
      <c r="D568" s="12"/>
      <c r="G568" s="11"/>
    </row>
    <row r="569">
      <c r="A569" s="11"/>
      <c r="D569" s="12"/>
      <c r="G569" s="11"/>
    </row>
    <row r="570">
      <c r="A570" s="11"/>
      <c r="D570" s="12"/>
      <c r="G570" s="11"/>
    </row>
    <row r="571">
      <c r="A571" s="11"/>
      <c r="D571" s="12"/>
      <c r="G571" s="11"/>
    </row>
    <row r="572">
      <c r="A572" s="11"/>
      <c r="D572" s="12"/>
      <c r="G572" s="11"/>
    </row>
    <row r="573">
      <c r="A573" s="11"/>
      <c r="D573" s="12"/>
      <c r="G573" s="11"/>
    </row>
    <row r="574">
      <c r="A574" s="11"/>
      <c r="D574" s="12"/>
      <c r="G574" s="11"/>
    </row>
    <row r="575">
      <c r="A575" s="11"/>
      <c r="D575" s="12"/>
      <c r="G575" s="11"/>
    </row>
    <row r="576">
      <c r="A576" s="11"/>
      <c r="D576" s="12"/>
      <c r="G576" s="11"/>
    </row>
    <row r="577">
      <c r="A577" s="11"/>
      <c r="D577" s="12"/>
      <c r="G577" s="11"/>
    </row>
    <row r="578">
      <c r="A578" s="11"/>
      <c r="D578" s="12"/>
      <c r="G578" s="11"/>
    </row>
    <row r="579">
      <c r="A579" s="11"/>
      <c r="D579" s="12"/>
      <c r="G579" s="11"/>
    </row>
    <row r="580">
      <c r="A580" s="11"/>
      <c r="D580" s="12"/>
      <c r="G580" s="11"/>
    </row>
    <row r="581">
      <c r="A581" s="11"/>
      <c r="D581" s="12"/>
      <c r="G581" s="11"/>
    </row>
    <row r="582">
      <c r="A582" s="11"/>
      <c r="D582" s="12"/>
      <c r="G582" s="11"/>
    </row>
    <row r="583">
      <c r="A583" s="11"/>
      <c r="D583" s="12"/>
      <c r="G583" s="11"/>
    </row>
    <row r="584">
      <c r="A584" s="11"/>
      <c r="D584" s="12"/>
      <c r="G584" s="11"/>
    </row>
    <row r="585">
      <c r="A585" s="11"/>
      <c r="D585" s="12"/>
      <c r="G585" s="11"/>
    </row>
    <row r="586">
      <c r="A586" s="11"/>
      <c r="D586" s="12"/>
      <c r="G586" s="11"/>
    </row>
    <row r="587">
      <c r="A587" s="11"/>
      <c r="D587" s="12"/>
      <c r="G587" s="11"/>
    </row>
    <row r="588">
      <c r="A588" s="11"/>
      <c r="D588" s="12"/>
      <c r="G588" s="11"/>
    </row>
    <row r="589">
      <c r="A589" s="11"/>
      <c r="D589" s="12"/>
      <c r="G589" s="11"/>
    </row>
    <row r="590">
      <c r="A590" s="11"/>
      <c r="D590" s="12"/>
      <c r="G590" s="11"/>
    </row>
    <row r="591">
      <c r="A591" s="11"/>
      <c r="D591" s="12"/>
      <c r="G591" s="11"/>
    </row>
    <row r="592">
      <c r="A592" s="11"/>
      <c r="D592" s="12"/>
      <c r="G592" s="11"/>
    </row>
    <row r="593">
      <c r="A593" s="11"/>
      <c r="D593" s="12"/>
      <c r="G593" s="11"/>
    </row>
    <row r="594">
      <c r="A594" s="11"/>
      <c r="D594" s="12"/>
      <c r="G594" s="11"/>
    </row>
    <row r="595">
      <c r="A595" s="11"/>
      <c r="D595" s="12"/>
      <c r="G595" s="11"/>
    </row>
    <row r="596">
      <c r="A596" s="11"/>
      <c r="D596" s="12"/>
      <c r="G596" s="11"/>
    </row>
    <row r="597">
      <c r="A597" s="11"/>
      <c r="D597" s="12"/>
      <c r="G597" s="11"/>
    </row>
    <row r="598">
      <c r="A598" s="11"/>
      <c r="D598" s="12"/>
      <c r="G598" s="11"/>
    </row>
    <row r="599">
      <c r="A599" s="11"/>
      <c r="D599" s="12"/>
      <c r="G599" s="11"/>
    </row>
    <row r="600">
      <c r="A600" s="11"/>
      <c r="D600" s="12"/>
      <c r="G600" s="11"/>
    </row>
    <row r="601">
      <c r="A601" s="11"/>
      <c r="D601" s="12"/>
      <c r="G601" s="11"/>
    </row>
    <row r="602">
      <c r="A602" s="11"/>
      <c r="D602" s="12"/>
      <c r="G602" s="11"/>
    </row>
    <row r="603">
      <c r="A603" s="11"/>
      <c r="D603" s="12"/>
      <c r="G603" s="11"/>
    </row>
    <row r="604">
      <c r="A604" s="11"/>
      <c r="D604" s="12"/>
      <c r="G604" s="11"/>
    </row>
    <row r="605">
      <c r="A605" s="11"/>
      <c r="D605" s="12"/>
      <c r="G605" s="11"/>
    </row>
    <row r="606">
      <c r="A606" s="11"/>
      <c r="D606" s="12"/>
      <c r="G606" s="11"/>
    </row>
    <row r="607">
      <c r="A607" s="11"/>
      <c r="D607" s="12"/>
      <c r="G607" s="11"/>
    </row>
    <row r="608">
      <c r="A608" s="11"/>
      <c r="D608" s="12"/>
      <c r="G608" s="11"/>
    </row>
    <row r="609">
      <c r="A609" s="11"/>
      <c r="D609" s="12"/>
      <c r="G609" s="11"/>
    </row>
    <row r="610">
      <c r="A610" s="11"/>
      <c r="D610" s="12"/>
      <c r="G610" s="11"/>
    </row>
    <row r="611">
      <c r="A611" s="11"/>
      <c r="D611" s="12"/>
      <c r="G611" s="11"/>
    </row>
    <row r="612">
      <c r="A612" s="11"/>
      <c r="D612" s="12"/>
      <c r="G612" s="11"/>
    </row>
    <row r="613">
      <c r="A613" s="11"/>
      <c r="D613" s="12"/>
      <c r="G613" s="11"/>
    </row>
    <row r="614">
      <c r="A614" s="11"/>
      <c r="D614" s="12"/>
      <c r="G614" s="11"/>
    </row>
    <row r="615">
      <c r="A615" s="11"/>
      <c r="D615" s="12"/>
      <c r="G615" s="11"/>
    </row>
    <row r="616">
      <c r="A616" s="11"/>
      <c r="D616" s="12"/>
      <c r="G616" s="11"/>
    </row>
    <row r="617">
      <c r="A617" s="11"/>
      <c r="D617" s="12"/>
      <c r="G617" s="11"/>
    </row>
    <row r="618">
      <c r="A618" s="11"/>
      <c r="D618" s="12"/>
      <c r="G618" s="11"/>
    </row>
    <row r="619">
      <c r="A619" s="11"/>
      <c r="D619" s="12"/>
      <c r="G619" s="11"/>
    </row>
    <row r="620">
      <c r="A620" s="11"/>
      <c r="D620" s="12"/>
      <c r="G620" s="11"/>
    </row>
    <row r="621">
      <c r="A621" s="11"/>
      <c r="D621" s="12"/>
      <c r="G621" s="11"/>
    </row>
    <row r="622">
      <c r="A622" s="11"/>
      <c r="D622" s="12"/>
      <c r="G622" s="11"/>
    </row>
    <row r="623">
      <c r="A623" s="11"/>
      <c r="D623" s="12"/>
      <c r="G623" s="11"/>
    </row>
    <row r="624">
      <c r="A624" s="11"/>
      <c r="D624" s="12"/>
      <c r="G624" s="11"/>
    </row>
    <row r="625">
      <c r="A625" s="11"/>
      <c r="D625" s="12"/>
      <c r="G625" s="11"/>
    </row>
    <row r="626">
      <c r="A626" s="11"/>
      <c r="D626" s="12"/>
      <c r="G626" s="11"/>
    </row>
    <row r="627">
      <c r="A627" s="11"/>
      <c r="D627" s="12"/>
      <c r="G627" s="11"/>
    </row>
    <row r="628">
      <c r="A628" s="11"/>
      <c r="D628" s="12"/>
      <c r="G628" s="11"/>
    </row>
    <row r="629">
      <c r="A629" s="11"/>
      <c r="D629" s="12"/>
      <c r="G629" s="11"/>
    </row>
    <row r="630">
      <c r="A630" s="11"/>
      <c r="D630" s="12"/>
      <c r="G630" s="11"/>
    </row>
    <row r="631">
      <c r="A631" s="11"/>
      <c r="D631" s="12"/>
      <c r="G631" s="11"/>
    </row>
    <row r="632">
      <c r="A632" s="11"/>
      <c r="D632" s="12"/>
      <c r="G632" s="11"/>
    </row>
    <row r="633">
      <c r="A633" s="11"/>
      <c r="D633" s="12"/>
      <c r="G633" s="11"/>
    </row>
    <row r="634">
      <c r="A634" s="11"/>
      <c r="D634" s="12"/>
      <c r="G634" s="11"/>
    </row>
    <row r="635">
      <c r="A635" s="11"/>
      <c r="D635" s="12"/>
      <c r="G635" s="11"/>
    </row>
    <row r="636">
      <c r="A636" s="11"/>
      <c r="D636" s="12"/>
      <c r="G636" s="11"/>
    </row>
    <row r="637">
      <c r="A637" s="11"/>
      <c r="D637" s="12"/>
      <c r="G637" s="11"/>
    </row>
    <row r="638">
      <c r="A638" s="11"/>
      <c r="D638" s="12"/>
      <c r="G638" s="11"/>
    </row>
    <row r="639">
      <c r="A639" s="11"/>
      <c r="D639" s="12"/>
      <c r="G639" s="11"/>
    </row>
    <row r="640">
      <c r="A640" s="11"/>
      <c r="D640" s="12"/>
      <c r="G640" s="11"/>
    </row>
    <row r="641">
      <c r="A641" s="11"/>
      <c r="D641" s="12"/>
      <c r="G641" s="11"/>
    </row>
    <row r="642">
      <c r="A642" s="11"/>
      <c r="D642" s="12"/>
      <c r="G642" s="11"/>
    </row>
    <row r="643">
      <c r="A643" s="11"/>
      <c r="D643" s="12"/>
      <c r="G643" s="11"/>
    </row>
    <row r="644">
      <c r="A644" s="11"/>
      <c r="D644" s="12"/>
      <c r="G644" s="11"/>
    </row>
    <row r="645">
      <c r="A645" s="11"/>
      <c r="D645" s="12"/>
      <c r="G645" s="11"/>
    </row>
    <row r="646">
      <c r="A646" s="11"/>
      <c r="D646" s="12"/>
      <c r="G646" s="11"/>
    </row>
    <row r="647">
      <c r="A647" s="11"/>
      <c r="D647" s="12"/>
      <c r="G647" s="11"/>
    </row>
    <row r="648">
      <c r="A648" s="11"/>
      <c r="D648" s="12"/>
      <c r="G648" s="11"/>
    </row>
    <row r="649">
      <c r="A649" s="11"/>
      <c r="D649" s="12"/>
      <c r="G649" s="11"/>
    </row>
    <row r="650">
      <c r="A650" s="11"/>
      <c r="D650" s="12"/>
      <c r="G650" s="11"/>
    </row>
    <row r="651">
      <c r="A651" s="11"/>
      <c r="D651" s="12"/>
      <c r="G651" s="11"/>
    </row>
    <row r="652">
      <c r="A652" s="11"/>
      <c r="D652" s="12"/>
      <c r="G652" s="11"/>
    </row>
    <row r="653">
      <c r="A653" s="11"/>
      <c r="D653" s="12"/>
      <c r="G653" s="11"/>
    </row>
    <row r="654">
      <c r="A654" s="11"/>
      <c r="D654" s="12"/>
      <c r="G654" s="11"/>
    </row>
    <row r="655">
      <c r="A655" s="11"/>
      <c r="D655" s="12"/>
      <c r="G655" s="11"/>
    </row>
    <row r="656">
      <c r="A656" s="11"/>
      <c r="D656" s="12"/>
      <c r="G656" s="11"/>
    </row>
    <row r="657">
      <c r="A657" s="11"/>
      <c r="D657" s="12"/>
      <c r="G657" s="11"/>
    </row>
    <row r="658">
      <c r="A658" s="11"/>
      <c r="D658" s="12"/>
      <c r="G658" s="11"/>
    </row>
    <row r="659">
      <c r="A659" s="11"/>
      <c r="D659" s="12"/>
      <c r="G659" s="11"/>
    </row>
    <row r="660">
      <c r="A660" s="11"/>
      <c r="D660" s="12"/>
      <c r="G660" s="11"/>
    </row>
    <row r="661">
      <c r="A661" s="11"/>
      <c r="D661" s="12"/>
      <c r="G661" s="11"/>
    </row>
    <row r="662">
      <c r="A662" s="11"/>
      <c r="D662" s="12"/>
      <c r="G662" s="11"/>
    </row>
    <row r="663">
      <c r="A663" s="11"/>
      <c r="D663" s="12"/>
      <c r="G663" s="11"/>
    </row>
    <row r="664">
      <c r="A664" s="11"/>
      <c r="D664" s="12"/>
      <c r="G664" s="11"/>
    </row>
    <row r="665">
      <c r="A665" s="11"/>
      <c r="D665" s="12"/>
      <c r="G665" s="11"/>
    </row>
    <row r="666">
      <c r="A666" s="11"/>
      <c r="D666" s="12"/>
      <c r="G666" s="11"/>
    </row>
    <row r="667">
      <c r="A667" s="11"/>
      <c r="D667" s="12"/>
      <c r="G667" s="11"/>
    </row>
    <row r="668">
      <c r="A668" s="11"/>
      <c r="D668" s="12"/>
      <c r="G668" s="11"/>
    </row>
    <row r="669">
      <c r="A669" s="11"/>
      <c r="D669" s="12"/>
      <c r="G669" s="11"/>
    </row>
    <row r="670">
      <c r="A670" s="11"/>
      <c r="D670" s="12"/>
      <c r="G670" s="11"/>
    </row>
    <row r="671">
      <c r="A671" s="11"/>
      <c r="D671" s="12"/>
      <c r="G671" s="11"/>
    </row>
    <row r="672">
      <c r="A672" s="11"/>
      <c r="D672" s="12"/>
      <c r="G672" s="11"/>
    </row>
    <row r="673">
      <c r="A673" s="11"/>
      <c r="D673" s="12"/>
      <c r="G673" s="11"/>
    </row>
    <row r="674">
      <c r="A674" s="11"/>
      <c r="D674" s="12"/>
      <c r="G674" s="11"/>
    </row>
    <row r="675">
      <c r="A675" s="11"/>
      <c r="D675" s="12"/>
      <c r="G675" s="11"/>
    </row>
    <row r="676">
      <c r="A676" s="11"/>
      <c r="D676" s="12"/>
      <c r="G676" s="11"/>
    </row>
    <row r="677">
      <c r="A677" s="11"/>
      <c r="D677" s="12"/>
      <c r="G677" s="11"/>
    </row>
    <row r="678">
      <c r="A678" s="11"/>
      <c r="D678" s="12"/>
      <c r="G678" s="11"/>
    </row>
    <row r="679">
      <c r="A679" s="11"/>
      <c r="D679" s="12"/>
      <c r="G679" s="11"/>
    </row>
    <row r="680">
      <c r="A680" s="11"/>
      <c r="D680" s="12"/>
      <c r="G680" s="11"/>
    </row>
    <row r="681">
      <c r="A681" s="11"/>
      <c r="D681" s="12"/>
      <c r="G681" s="11"/>
    </row>
    <row r="682">
      <c r="A682" s="11"/>
      <c r="D682" s="12"/>
      <c r="G682" s="11"/>
    </row>
    <row r="683">
      <c r="A683" s="11"/>
      <c r="D683" s="12"/>
      <c r="G683" s="11"/>
    </row>
    <row r="684">
      <c r="A684" s="11"/>
      <c r="D684" s="12"/>
      <c r="G684" s="11"/>
    </row>
    <row r="685">
      <c r="A685" s="11"/>
      <c r="D685" s="12"/>
      <c r="G685" s="11"/>
    </row>
    <row r="686">
      <c r="A686" s="11"/>
      <c r="D686" s="12"/>
      <c r="G686" s="11"/>
    </row>
    <row r="687">
      <c r="A687" s="11"/>
      <c r="D687" s="12"/>
      <c r="G687" s="11"/>
    </row>
    <row r="688">
      <c r="A688" s="11"/>
      <c r="D688" s="12"/>
      <c r="G688" s="11"/>
    </row>
    <row r="689">
      <c r="A689" s="11"/>
      <c r="D689" s="12"/>
      <c r="G689" s="11"/>
    </row>
    <row r="690">
      <c r="A690" s="11"/>
      <c r="D690" s="12"/>
      <c r="G690" s="11"/>
    </row>
    <row r="691">
      <c r="A691" s="11"/>
      <c r="D691" s="12"/>
      <c r="G691" s="11"/>
    </row>
    <row r="692">
      <c r="A692" s="11"/>
      <c r="D692" s="12"/>
      <c r="G692" s="11"/>
    </row>
    <row r="693">
      <c r="A693" s="11"/>
      <c r="D693" s="12"/>
      <c r="G693" s="11"/>
    </row>
    <row r="694">
      <c r="A694" s="11"/>
      <c r="D694" s="12"/>
      <c r="G694" s="11"/>
    </row>
    <row r="695">
      <c r="A695" s="11"/>
      <c r="D695" s="12"/>
      <c r="G695" s="11"/>
    </row>
    <row r="696">
      <c r="A696" s="11"/>
      <c r="D696" s="12"/>
      <c r="G696" s="11"/>
    </row>
    <row r="697">
      <c r="A697" s="11"/>
      <c r="D697" s="12"/>
      <c r="G697" s="11"/>
    </row>
    <row r="698">
      <c r="A698" s="11"/>
      <c r="D698" s="12"/>
      <c r="G698" s="11"/>
    </row>
    <row r="699">
      <c r="A699" s="11"/>
      <c r="D699" s="12"/>
      <c r="G699" s="11"/>
    </row>
    <row r="700">
      <c r="A700" s="11"/>
      <c r="D700" s="12"/>
      <c r="G700" s="11"/>
    </row>
    <row r="701">
      <c r="A701" s="11"/>
      <c r="D701" s="12"/>
      <c r="G701" s="11"/>
    </row>
    <row r="702">
      <c r="A702" s="11"/>
      <c r="D702" s="12"/>
      <c r="G702" s="11"/>
    </row>
    <row r="703">
      <c r="A703" s="11"/>
      <c r="D703" s="12"/>
      <c r="G703" s="11"/>
    </row>
    <row r="704">
      <c r="A704" s="11"/>
      <c r="D704" s="12"/>
      <c r="G704" s="11"/>
    </row>
    <row r="705">
      <c r="A705" s="11"/>
      <c r="D705" s="12"/>
      <c r="G705" s="11"/>
    </row>
    <row r="706">
      <c r="A706" s="11"/>
      <c r="D706" s="12"/>
      <c r="G706" s="11"/>
    </row>
    <row r="707">
      <c r="A707" s="11"/>
      <c r="D707" s="12"/>
      <c r="G707" s="11"/>
    </row>
    <row r="708">
      <c r="A708" s="11"/>
      <c r="D708" s="12"/>
      <c r="G708" s="11"/>
    </row>
    <row r="709">
      <c r="A709" s="11"/>
      <c r="D709" s="12"/>
      <c r="G709" s="11"/>
    </row>
    <row r="710">
      <c r="A710" s="11"/>
      <c r="D710" s="12"/>
      <c r="G710" s="11"/>
    </row>
    <row r="711">
      <c r="A711" s="11"/>
      <c r="D711" s="12"/>
      <c r="G711" s="11"/>
    </row>
    <row r="712">
      <c r="A712" s="11"/>
      <c r="D712" s="12"/>
      <c r="G712" s="11"/>
    </row>
    <row r="713">
      <c r="A713" s="11"/>
      <c r="D713" s="12"/>
      <c r="G713" s="11"/>
    </row>
    <row r="714">
      <c r="A714" s="11"/>
      <c r="D714" s="12"/>
      <c r="G714" s="11"/>
    </row>
    <row r="715">
      <c r="A715" s="11"/>
      <c r="D715" s="12"/>
      <c r="G715" s="11"/>
    </row>
    <row r="716">
      <c r="A716" s="11"/>
      <c r="D716" s="12"/>
      <c r="G716" s="11"/>
    </row>
    <row r="717">
      <c r="A717" s="11"/>
      <c r="D717" s="12"/>
      <c r="G717" s="11"/>
    </row>
    <row r="718">
      <c r="A718" s="11"/>
      <c r="D718" s="12"/>
      <c r="G718" s="11"/>
    </row>
    <row r="719">
      <c r="A719" s="11"/>
      <c r="D719" s="12"/>
      <c r="G719" s="11"/>
    </row>
    <row r="720">
      <c r="A720" s="11"/>
      <c r="D720" s="12"/>
      <c r="G720" s="11"/>
    </row>
    <row r="721">
      <c r="A721" s="11"/>
      <c r="D721" s="12"/>
      <c r="G721" s="11"/>
    </row>
    <row r="722">
      <c r="A722" s="11"/>
      <c r="D722" s="12"/>
      <c r="G722" s="11"/>
    </row>
    <row r="723">
      <c r="A723" s="11"/>
      <c r="D723" s="12"/>
      <c r="G723" s="11"/>
    </row>
    <row r="724">
      <c r="A724" s="11"/>
      <c r="D724" s="12"/>
      <c r="G724" s="11"/>
    </row>
    <row r="725">
      <c r="A725" s="11"/>
      <c r="D725" s="12"/>
      <c r="G725" s="11"/>
    </row>
    <row r="726">
      <c r="A726" s="11"/>
      <c r="D726" s="12"/>
      <c r="G726" s="11"/>
    </row>
    <row r="727">
      <c r="A727" s="11"/>
      <c r="D727" s="12"/>
      <c r="G727" s="11"/>
    </row>
    <row r="728">
      <c r="A728" s="11"/>
      <c r="D728" s="12"/>
      <c r="G728" s="11"/>
    </row>
    <row r="729">
      <c r="A729" s="11"/>
      <c r="D729" s="12"/>
      <c r="G729" s="11"/>
    </row>
    <row r="730">
      <c r="A730" s="11"/>
      <c r="D730" s="12"/>
      <c r="G730" s="11"/>
    </row>
    <row r="731">
      <c r="A731" s="11"/>
      <c r="D731" s="12"/>
      <c r="G731" s="11"/>
    </row>
    <row r="732">
      <c r="A732" s="11"/>
      <c r="D732" s="12"/>
      <c r="G732" s="11"/>
    </row>
    <row r="733">
      <c r="A733" s="11"/>
      <c r="D733" s="12"/>
      <c r="G733" s="11"/>
    </row>
    <row r="734">
      <c r="A734" s="11"/>
      <c r="D734" s="12"/>
      <c r="G734" s="11"/>
    </row>
    <row r="735">
      <c r="A735" s="11"/>
      <c r="D735" s="12"/>
      <c r="G735" s="11"/>
    </row>
    <row r="736">
      <c r="A736" s="11"/>
      <c r="D736" s="12"/>
      <c r="G736" s="11"/>
    </row>
    <row r="737">
      <c r="A737" s="11"/>
      <c r="D737" s="12"/>
      <c r="G737" s="11"/>
    </row>
    <row r="738">
      <c r="A738" s="11"/>
      <c r="D738" s="12"/>
      <c r="G738" s="11"/>
    </row>
    <row r="739">
      <c r="A739" s="11"/>
      <c r="D739" s="12"/>
      <c r="G739" s="11"/>
    </row>
    <row r="740">
      <c r="A740" s="11"/>
      <c r="D740" s="12"/>
      <c r="G740" s="11"/>
    </row>
    <row r="741">
      <c r="A741" s="11"/>
      <c r="D741" s="12"/>
      <c r="G741" s="11"/>
    </row>
    <row r="742">
      <c r="A742" s="11"/>
      <c r="D742" s="12"/>
      <c r="G742" s="11"/>
    </row>
    <row r="743">
      <c r="A743" s="11"/>
      <c r="D743" s="12"/>
      <c r="G743" s="11"/>
    </row>
    <row r="744">
      <c r="A744" s="11"/>
      <c r="D744" s="12"/>
      <c r="G744" s="11"/>
    </row>
    <row r="745">
      <c r="A745" s="11"/>
      <c r="D745" s="12"/>
      <c r="G745" s="11"/>
    </row>
    <row r="746">
      <c r="A746" s="11"/>
      <c r="D746" s="12"/>
      <c r="G746" s="11"/>
    </row>
    <row r="747">
      <c r="A747" s="11"/>
      <c r="D747" s="12"/>
      <c r="G747" s="11"/>
    </row>
    <row r="748">
      <c r="A748" s="11"/>
      <c r="D748" s="12"/>
      <c r="G748" s="11"/>
    </row>
    <row r="749">
      <c r="A749" s="11"/>
      <c r="D749" s="12"/>
      <c r="G749" s="11"/>
    </row>
    <row r="750">
      <c r="A750" s="11"/>
      <c r="D750" s="12"/>
      <c r="G750" s="11"/>
    </row>
    <row r="751">
      <c r="A751" s="11"/>
      <c r="D751" s="12"/>
      <c r="G751" s="11"/>
    </row>
    <row r="752">
      <c r="A752" s="11"/>
      <c r="D752" s="12"/>
      <c r="G752" s="11"/>
    </row>
    <row r="753">
      <c r="A753" s="11"/>
      <c r="D753" s="12"/>
      <c r="G753" s="11"/>
    </row>
    <row r="754">
      <c r="A754" s="11"/>
      <c r="D754" s="12"/>
      <c r="G754" s="11"/>
    </row>
    <row r="755">
      <c r="A755" s="11"/>
      <c r="D755" s="12"/>
      <c r="G755" s="11"/>
    </row>
    <row r="756">
      <c r="A756" s="11"/>
      <c r="D756" s="12"/>
      <c r="G756" s="11"/>
    </row>
    <row r="757">
      <c r="A757" s="11"/>
      <c r="D757" s="12"/>
      <c r="G757" s="11"/>
    </row>
    <row r="758">
      <c r="A758" s="11"/>
      <c r="D758" s="12"/>
      <c r="G758" s="11"/>
    </row>
    <row r="759">
      <c r="A759" s="11"/>
      <c r="D759" s="12"/>
      <c r="G759" s="11"/>
    </row>
    <row r="760">
      <c r="A760" s="11"/>
      <c r="D760" s="12"/>
      <c r="G760" s="11"/>
    </row>
    <row r="761">
      <c r="A761" s="11"/>
      <c r="D761" s="12"/>
      <c r="G761" s="11"/>
    </row>
    <row r="762">
      <c r="A762" s="11"/>
      <c r="D762" s="12"/>
      <c r="G762" s="11"/>
    </row>
    <row r="763">
      <c r="A763" s="11"/>
      <c r="D763" s="12"/>
      <c r="G763" s="11"/>
    </row>
    <row r="764">
      <c r="A764" s="11"/>
      <c r="D764" s="12"/>
      <c r="G764" s="11"/>
    </row>
    <row r="765">
      <c r="A765" s="11"/>
      <c r="D765" s="12"/>
      <c r="G765" s="11"/>
    </row>
    <row r="766">
      <c r="A766" s="11"/>
      <c r="D766" s="12"/>
      <c r="G766" s="11"/>
    </row>
    <row r="767">
      <c r="A767" s="11"/>
      <c r="D767" s="12"/>
      <c r="G767" s="11"/>
    </row>
    <row r="768">
      <c r="A768" s="11"/>
      <c r="D768" s="12"/>
      <c r="G768" s="11"/>
    </row>
    <row r="769">
      <c r="A769" s="11"/>
      <c r="D769" s="12"/>
      <c r="G769" s="11"/>
    </row>
    <row r="770">
      <c r="A770" s="11"/>
      <c r="D770" s="12"/>
      <c r="G770" s="11"/>
    </row>
    <row r="771">
      <c r="A771" s="11"/>
      <c r="D771" s="12"/>
      <c r="G771" s="11"/>
    </row>
    <row r="772">
      <c r="A772" s="11"/>
      <c r="D772" s="12"/>
      <c r="G772" s="11"/>
    </row>
    <row r="773">
      <c r="A773" s="11"/>
      <c r="D773" s="12"/>
      <c r="G773" s="11"/>
    </row>
    <row r="774">
      <c r="A774" s="11"/>
      <c r="D774" s="12"/>
      <c r="G774" s="11"/>
    </row>
    <row r="775">
      <c r="A775" s="11"/>
      <c r="D775" s="12"/>
      <c r="G775" s="11"/>
    </row>
    <row r="776">
      <c r="A776" s="11"/>
      <c r="D776" s="12"/>
      <c r="G776" s="11"/>
    </row>
    <row r="777">
      <c r="A777" s="11"/>
      <c r="D777" s="12"/>
      <c r="G777" s="11"/>
    </row>
    <row r="778">
      <c r="A778" s="11"/>
      <c r="D778" s="12"/>
      <c r="G778" s="11"/>
    </row>
    <row r="779">
      <c r="A779" s="11"/>
      <c r="D779" s="12"/>
      <c r="G779" s="11"/>
    </row>
    <row r="780">
      <c r="A780" s="11"/>
      <c r="D780" s="12"/>
      <c r="G780" s="11"/>
    </row>
    <row r="781">
      <c r="A781" s="11"/>
      <c r="D781" s="12"/>
      <c r="G781" s="11"/>
    </row>
    <row r="782">
      <c r="A782" s="11"/>
      <c r="D782" s="12"/>
      <c r="G782" s="11"/>
    </row>
    <row r="783">
      <c r="A783" s="11"/>
      <c r="D783" s="12"/>
      <c r="G783" s="11"/>
    </row>
    <row r="784">
      <c r="A784" s="11"/>
      <c r="D784" s="12"/>
      <c r="G784" s="11"/>
    </row>
    <row r="785">
      <c r="A785" s="11"/>
      <c r="D785" s="12"/>
      <c r="G785" s="11"/>
    </row>
    <row r="786">
      <c r="A786" s="11"/>
      <c r="D786" s="12"/>
      <c r="G786" s="11"/>
    </row>
    <row r="787">
      <c r="A787" s="11"/>
      <c r="D787" s="12"/>
      <c r="G787" s="11"/>
    </row>
    <row r="788">
      <c r="A788" s="11"/>
      <c r="D788" s="12"/>
      <c r="G788" s="11"/>
    </row>
    <row r="789">
      <c r="A789" s="11"/>
      <c r="D789" s="12"/>
      <c r="G789" s="11"/>
    </row>
    <row r="790">
      <c r="A790" s="11"/>
      <c r="D790" s="12"/>
      <c r="G790" s="11"/>
    </row>
    <row r="791">
      <c r="A791" s="11"/>
      <c r="D791" s="12"/>
      <c r="G791" s="11"/>
    </row>
    <row r="792">
      <c r="A792" s="11"/>
      <c r="D792" s="12"/>
      <c r="G792" s="11"/>
    </row>
    <row r="793">
      <c r="A793" s="11"/>
      <c r="D793" s="12"/>
      <c r="G793" s="11"/>
    </row>
    <row r="794">
      <c r="A794" s="11"/>
      <c r="D794" s="12"/>
      <c r="G794" s="11"/>
    </row>
    <row r="795">
      <c r="A795" s="11"/>
      <c r="D795" s="12"/>
      <c r="G795" s="11"/>
    </row>
    <row r="796">
      <c r="A796" s="11"/>
      <c r="D796" s="12"/>
      <c r="G796" s="11"/>
    </row>
    <row r="797">
      <c r="A797" s="11"/>
      <c r="D797" s="12"/>
      <c r="G797" s="11"/>
    </row>
    <row r="798">
      <c r="A798" s="11"/>
      <c r="D798" s="12"/>
      <c r="G798" s="11"/>
    </row>
    <row r="799">
      <c r="A799" s="11"/>
      <c r="D799" s="12"/>
      <c r="G799" s="11"/>
    </row>
    <row r="800">
      <c r="A800" s="11"/>
      <c r="D800" s="12"/>
      <c r="G800" s="11"/>
    </row>
    <row r="801">
      <c r="A801" s="11"/>
      <c r="D801" s="12"/>
      <c r="G801" s="11"/>
    </row>
    <row r="802">
      <c r="A802" s="11"/>
      <c r="D802" s="12"/>
      <c r="G802" s="11"/>
    </row>
    <row r="803">
      <c r="A803" s="11"/>
      <c r="D803" s="12"/>
      <c r="G803" s="11"/>
    </row>
    <row r="804">
      <c r="A804" s="11"/>
      <c r="D804" s="12"/>
      <c r="G804" s="11"/>
    </row>
    <row r="805">
      <c r="A805" s="11"/>
      <c r="D805" s="12"/>
      <c r="G805" s="11"/>
    </row>
    <row r="806">
      <c r="A806" s="11"/>
      <c r="D806" s="12"/>
      <c r="G806" s="11"/>
    </row>
    <row r="807">
      <c r="A807" s="11"/>
      <c r="D807" s="12"/>
      <c r="G807" s="11"/>
    </row>
    <row r="808">
      <c r="A808" s="11"/>
      <c r="D808" s="12"/>
      <c r="G808" s="11"/>
    </row>
    <row r="809">
      <c r="A809" s="11"/>
      <c r="D809" s="12"/>
      <c r="G809" s="11"/>
    </row>
    <row r="810">
      <c r="A810" s="11"/>
      <c r="D810" s="12"/>
      <c r="G810" s="11"/>
    </row>
    <row r="811">
      <c r="A811" s="11"/>
      <c r="D811" s="12"/>
      <c r="G811" s="11"/>
    </row>
    <row r="812">
      <c r="A812" s="11"/>
      <c r="D812" s="12"/>
      <c r="G812" s="11"/>
    </row>
    <row r="813">
      <c r="A813" s="11"/>
      <c r="D813" s="12"/>
      <c r="G813" s="11"/>
    </row>
    <row r="814">
      <c r="A814" s="11"/>
      <c r="D814" s="12"/>
      <c r="G814" s="11"/>
    </row>
    <row r="815">
      <c r="A815" s="11"/>
      <c r="D815" s="12"/>
      <c r="G815" s="11"/>
    </row>
    <row r="816">
      <c r="A816" s="11"/>
      <c r="D816" s="12"/>
      <c r="G816" s="11"/>
    </row>
    <row r="817">
      <c r="A817" s="11"/>
      <c r="D817" s="12"/>
      <c r="G817" s="11"/>
    </row>
    <row r="818">
      <c r="A818" s="11"/>
      <c r="D818" s="12"/>
      <c r="G818" s="11"/>
    </row>
    <row r="819">
      <c r="A819" s="11"/>
      <c r="D819" s="12"/>
      <c r="G819" s="11"/>
    </row>
    <row r="820">
      <c r="A820" s="11"/>
      <c r="D820" s="12"/>
      <c r="G820" s="11"/>
    </row>
    <row r="821">
      <c r="A821" s="11"/>
      <c r="D821" s="12"/>
      <c r="G821" s="11"/>
    </row>
    <row r="822">
      <c r="A822" s="11"/>
      <c r="D822" s="12"/>
      <c r="G822" s="11"/>
    </row>
    <row r="823">
      <c r="A823" s="11"/>
      <c r="D823" s="12"/>
      <c r="G823" s="11"/>
    </row>
    <row r="824">
      <c r="A824" s="11"/>
      <c r="D824" s="12"/>
      <c r="G824" s="11"/>
    </row>
    <row r="825">
      <c r="A825" s="11"/>
      <c r="D825" s="12"/>
      <c r="G825" s="11"/>
    </row>
    <row r="826">
      <c r="A826" s="11"/>
      <c r="D826" s="12"/>
      <c r="G826" s="11"/>
    </row>
    <row r="827">
      <c r="A827" s="11"/>
      <c r="D827" s="12"/>
      <c r="G827" s="11"/>
    </row>
    <row r="828">
      <c r="A828" s="11"/>
      <c r="D828" s="12"/>
      <c r="G828" s="11"/>
    </row>
    <row r="829">
      <c r="A829" s="11"/>
      <c r="D829" s="12"/>
      <c r="G829" s="11"/>
    </row>
    <row r="830">
      <c r="A830" s="11"/>
      <c r="D830" s="12"/>
      <c r="G830" s="11"/>
    </row>
    <row r="831">
      <c r="A831" s="11"/>
      <c r="D831" s="12"/>
      <c r="G831" s="11"/>
    </row>
    <row r="832">
      <c r="A832" s="11"/>
      <c r="D832" s="12"/>
      <c r="G832" s="11"/>
    </row>
    <row r="833">
      <c r="A833" s="11"/>
      <c r="D833" s="12"/>
      <c r="G833" s="11"/>
    </row>
    <row r="834">
      <c r="A834" s="11"/>
      <c r="D834" s="12"/>
      <c r="G834" s="11"/>
    </row>
    <row r="835">
      <c r="A835" s="11"/>
      <c r="D835" s="12"/>
      <c r="G835" s="11"/>
    </row>
    <row r="836">
      <c r="A836" s="11"/>
      <c r="D836" s="12"/>
      <c r="G836" s="11"/>
    </row>
    <row r="837">
      <c r="A837" s="11"/>
      <c r="D837" s="12"/>
      <c r="G837" s="11"/>
    </row>
    <row r="838">
      <c r="A838" s="11"/>
      <c r="D838" s="12"/>
      <c r="G838" s="11"/>
    </row>
    <row r="839">
      <c r="A839" s="11"/>
      <c r="D839" s="12"/>
      <c r="G839" s="11"/>
    </row>
    <row r="840">
      <c r="A840" s="11"/>
      <c r="D840" s="12"/>
      <c r="G840" s="11"/>
    </row>
    <row r="841">
      <c r="A841" s="11"/>
      <c r="D841" s="12"/>
      <c r="G841" s="11"/>
    </row>
    <row r="842">
      <c r="A842" s="11"/>
      <c r="D842" s="12"/>
      <c r="G842" s="11"/>
    </row>
    <row r="843">
      <c r="A843" s="11"/>
      <c r="D843" s="12"/>
      <c r="G843" s="11"/>
    </row>
    <row r="844">
      <c r="A844" s="11"/>
      <c r="D844" s="12"/>
      <c r="G844" s="11"/>
    </row>
    <row r="845">
      <c r="A845" s="11"/>
      <c r="D845" s="12"/>
      <c r="G845" s="11"/>
    </row>
    <row r="846">
      <c r="A846" s="11"/>
      <c r="D846" s="12"/>
      <c r="G846" s="11"/>
    </row>
    <row r="847">
      <c r="A847" s="11"/>
      <c r="D847" s="12"/>
      <c r="G847" s="11"/>
    </row>
    <row r="848">
      <c r="A848" s="11"/>
      <c r="D848" s="12"/>
      <c r="G848" s="11"/>
    </row>
    <row r="849">
      <c r="A849" s="11"/>
      <c r="D849" s="12"/>
      <c r="G849" s="11"/>
    </row>
    <row r="850">
      <c r="A850" s="11"/>
      <c r="D850" s="12"/>
      <c r="G850" s="11"/>
    </row>
    <row r="851">
      <c r="A851" s="11"/>
      <c r="D851" s="12"/>
      <c r="G851" s="11"/>
    </row>
    <row r="852">
      <c r="A852" s="11"/>
      <c r="D852" s="12"/>
      <c r="G852" s="11"/>
    </row>
    <row r="853">
      <c r="A853" s="11"/>
      <c r="D853" s="12"/>
      <c r="G853" s="11"/>
    </row>
    <row r="854">
      <c r="A854" s="11"/>
      <c r="D854" s="12"/>
      <c r="G854" s="11"/>
    </row>
    <row r="855">
      <c r="A855" s="11"/>
      <c r="D855" s="12"/>
      <c r="G855" s="11"/>
    </row>
    <row r="856">
      <c r="A856" s="11"/>
      <c r="D856" s="12"/>
      <c r="G856" s="11"/>
    </row>
    <row r="857">
      <c r="A857" s="11"/>
      <c r="D857" s="12"/>
      <c r="G857" s="11"/>
    </row>
    <row r="858">
      <c r="A858" s="11"/>
      <c r="D858" s="12"/>
      <c r="G858" s="11"/>
    </row>
    <row r="859">
      <c r="A859" s="11"/>
      <c r="D859" s="12"/>
      <c r="G859" s="11"/>
    </row>
    <row r="860">
      <c r="A860" s="11"/>
      <c r="D860" s="12"/>
      <c r="G860" s="11"/>
    </row>
    <row r="861">
      <c r="A861" s="11"/>
      <c r="D861" s="12"/>
      <c r="G861" s="11"/>
    </row>
    <row r="862">
      <c r="A862" s="11"/>
      <c r="D862" s="12"/>
      <c r="G862" s="11"/>
    </row>
    <row r="863">
      <c r="A863" s="11"/>
      <c r="D863" s="12"/>
      <c r="G863" s="11"/>
    </row>
    <row r="864">
      <c r="A864" s="11"/>
      <c r="D864" s="12"/>
      <c r="G864" s="11"/>
    </row>
    <row r="865">
      <c r="A865" s="11"/>
      <c r="D865" s="12"/>
      <c r="G865" s="11"/>
    </row>
    <row r="866">
      <c r="A866" s="11"/>
      <c r="D866" s="12"/>
      <c r="G866" s="11"/>
    </row>
    <row r="867">
      <c r="A867" s="11"/>
      <c r="D867" s="12"/>
      <c r="G867" s="11"/>
    </row>
    <row r="868">
      <c r="A868" s="11"/>
      <c r="D868" s="12"/>
      <c r="G868" s="11"/>
    </row>
    <row r="869">
      <c r="A869" s="11"/>
      <c r="D869" s="12"/>
      <c r="G869" s="11"/>
    </row>
    <row r="870">
      <c r="A870" s="11"/>
      <c r="D870" s="12"/>
      <c r="G870" s="11"/>
    </row>
    <row r="871">
      <c r="A871" s="11"/>
      <c r="D871" s="12"/>
      <c r="G871" s="11"/>
    </row>
    <row r="872">
      <c r="A872" s="11"/>
      <c r="D872" s="12"/>
      <c r="G872" s="11"/>
    </row>
    <row r="873">
      <c r="A873" s="11"/>
      <c r="D873" s="12"/>
      <c r="G873" s="11"/>
    </row>
    <row r="874">
      <c r="A874" s="11"/>
      <c r="D874" s="12"/>
      <c r="G874" s="11"/>
    </row>
    <row r="875">
      <c r="A875" s="11"/>
      <c r="D875" s="12"/>
      <c r="G875" s="11"/>
    </row>
    <row r="876">
      <c r="A876" s="11"/>
      <c r="D876" s="12"/>
      <c r="G876" s="11"/>
    </row>
    <row r="877">
      <c r="A877" s="11"/>
      <c r="D877" s="12"/>
      <c r="G877" s="11"/>
    </row>
    <row r="878">
      <c r="A878" s="11"/>
      <c r="D878" s="12"/>
      <c r="G878" s="11"/>
    </row>
    <row r="879">
      <c r="A879" s="11"/>
      <c r="D879" s="12"/>
      <c r="G879" s="11"/>
    </row>
    <row r="880">
      <c r="A880" s="11"/>
      <c r="D880" s="12"/>
      <c r="G880" s="11"/>
    </row>
    <row r="881">
      <c r="A881" s="11"/>
      <c r="D881" s="12"/>
      <c r="G881" s="11"/>
    </row>
    <row r="882">
      <c r="A882" s="11"/>
      <c r="D882" s="12"/>
      <c r="G882" s="11"/>
    </row>
    <row r="883">
      <c r="A883" s="11"/>
      <c r="D883" s="12"/>
      <c r="G883" s="11"/>
    </row>
    <row r="884">
      <c r="A884" s="11"/>
      <c r="D884" s="12"/>
      <c r="G884" s="11"/>
    </row>
    <row r="885">
      <c r="A885" s="11"/>
      <c r="D885" s="12"/>
      <c r="G885" s="11"/>
    </row>
    <row r="886">
      <c r="A886" s="11"/>
      <c r="D886" s="12"/>
      <c r="G886" s="11"/>
    </row>
    <row r="887">
      <c r="A887" s="11"/>
      <c r="D887" s="12"/>
      <c r="G887" s="11"/>
    </row>
    <row r="888">
      <c r="A888" s="11"/>
      <c r="D888" s="12"/>
      <c r="G888" s="11"/>
    </row>
    <row r="889">
      <c r="A889" s="11"/>
      <c r="D889" s="12"/>
      <c r="G889" s="11"/>
    </row>
    <row r="890">
      <c r="A890" s="11"/>
      <c r="D890" s="12"/>
      <c r="G890" s="11"/>
    </row>
    <row r="891">
      <c r="A891" s="11"/>
      <c r="D891" s="12"/>
      <c r="G891" s="11"/>
    </row>
    <row r="892">
      <c r="A892" s="11"/>
      <c r="D892" s="12"/>
      <c r="G892" s="11"/>
    </row>
    <row r="893">
      <c r="A893" s="11"/>
      <c r="D893" s="12"/>
      <c r="G893" s="11"/>
    </row>
    <row r="894">
      <c r="A894" s="11"/>
      <c r="D894" s="12"/>
      <c r="G894" s="11"/>
    </row>
    <row r="895">
      <c r="A895" s="11"/>
      <c r="D895" s="12"/>
      <c r="G895" s="11"/>
    </row>
    <row r="896">
      <c r="A896" s="11"/>
      <c r="D896" s="12"/>
      <c r="G896" s="11"/>
    </row>
    <row r="897">
      <c r="A897" s="11"/>
      <c r="D897" s="12"/>
      <c r="G897" s="11"/>
    </row>
    <row r="898">
      <c r="A898" s="11"/>
      <c r="D898" s="12"/>
      <c r="G898" s="11"/>
    </row>
    <row r="899">
      <c r="A899" s="11"/>
      <c r="D899" s="12"/>
      <c r="G899" s="11"/>
    </row>
    <row r="900">
      <c r="A900" s="11"/>
      <c r="D900" s="12"/>
      <c r="G900" s="11"/>
    </row>
    <row r="901">
      <c r="A901" s="11"/>
      <c r="D901" s="12"/>
      <c r="G901" s="11"/>
    </row>
    <row r="902">
      <c r="A902" s="11"/>
      <c r="D902" s="12"/>
      <c r="G902" s="11"/>
    </row>
    <row r="903">
      <c r="A903" s="11"/>
      <c r="D903" s="12"/>
      <c r="G903" s="11"/>
    </row>
    <row r="904">
      <c r="A904" s="11"/>
      <c r="D904" s="12"/>
      <c r="G904" s="11"/>
    </row>
    <row r="905">
      <c r="A905" s="11"/>
      <c r="D905" s="12"/>
      <c r="G905" s="11"/>
    </row>
    <row r="906">
      <c r="A906" s="11"/>
      <c r="D906" s="12"/>
      <c r="G906" s="11"/>
    </row>
    <row r="907">
      <c r="A907" s="11"/>
      <c r="D907" s="12"/>
      <c r="G907" s="11"/>
    </row>
    <row r="908">
      <c r="A908" s="11"/>
      <c r="D908" s="12"/>
      <c r="G908" s="11"/>
    </row>
    <row r="909">
      <c r="A909" s="11"/>
      <c r="D909" s="12"/>
      <c r="G909" s="11"/>
    </row>
    <row r="910">
      <c r="A910" s="11"/>
      <c r="D910" s="12"/>
      <c r="G910" s="11"/>
    </row>
    <row r="911">
      <c r="A911" s="11"/>
      <c r="D911" s="12"/>
      <c r="G911" s="11"/>
    </row>
    <row r="912">
      <c r="A912" s="11"/>
      <c r="D912" s="12"/>
      <c r="G912" s="11"/>
    </row>
    <row r="913">
      <c r="A913" s="11"/>
      <c r="D913" s="12"/>
      <c r="G913" s="11"/>
    </row>
    <row r="914">
      <c r="A914" s="11"/>
      <c r="D914" s="12"/>
      <c r="G914" s="11"/>
    </row>
    <row r="915">
      <c r="A915" s="11"/>
      <c r="D915" s="12"/>
      <c r="G915" s="11"/>
    </row>
    <row r="916">
      <c r="A916" s="11"/>
      <c r="D916" s="12"/>
      <c r="G916" s="11"/>
    </row>
    <row r="917">
      <c r="A917" s="11"/>
      <c r="D917" s="12"/>
      <c r="G917" s="11"/>
    </row>
    <row r="918">
      <c r="A918" s="11"/>
      <c r="D918" s="12"/>
      <c r="G918" s="11"/>
    </row>
    <row r="919">
      <c r="A919" s="11"/>
      <c r="D919" s="12"/>
      <c r="G919" s="11"/>
    </row>
    <row r="920">
      <c r="A920" s="11"/>
      <c r="D920" s="12"/>
      <c r="G920" s="11"/>
    </row>
    <row r="921">
      <c r="A921" s="11"/>
      <c r="D921" s="12"/>
      <c r="G921" s="11"/>
    </row>
    <row r="922">
      <c r="A922" s="11"/>
      <c r="D922" s="12"/>
      <c r="G922" s="11"/>
    </row>
    <row r="923">
      <c r="A923" s="11"/>
      <c r="D923" s="12"/>
      <c r="G923" s="11"/>
    </row>
    <row r="924">
      <c r="A924" s="11"/>
      <c r="D924" s="12"/>
      <c r="G924" s="11"/>
    </row>
    <row r="925">
      <c r="A925" s="11"/>
      <c r="D925" s="12"/>
      <c r="G925" s="11"/>
    </row>
    <row r="926">
      <c r="A926" s="11"/>
      <c r="D926" s="12"/>
      <c r="G926" s="11"/>
    </row>
    <row r="927">
      <c r="A927" s="11"/>
      <c r="D927" s="12"/>
      <c r="G927" s="11"/>
    </row>
    <row r="928">
      <c r="A928" s="11"/>
      <c r="D928" s="12"/>
      <c r="G928" s="11"/>
    </row>
    <row r="929">
      <c r="A929" s="11"/>
      <c r="D929" s="12"/>
      <c r="G929" s="11"/>
    </row>
    <row r="930">
      <c r="A930" s="11"/>
      <c r="D930" s="12"/>
      <c r="G930" s="11"/>
    </row>
    <row r="931">
      <c r="A931" s="11"/>
      <c r="D931" s="12"/>
      <c r="G931" s="11"/>
    </row>
    <row r="932">
      <c r="A932" s="11"/>
      <c r="D932" s="12"/>
      <c r="G932" s="11"/>
    </row>
    <row r="933">
      <c r="A933" s="11"/>
      <c r="D933" s="12"/>
      <c r="G933" s="11"/>
    </row>
    <row r="934">
      <c r="A934" s="11"/>
      <c r="D934" s="12"/>
      <c r="G934" s="11"/>
    </row>
    <row r="935">
      <c r="A935" s="11"/>
      <c r="D935" s="12"/>
      <c r="G935" s="11"/>
    </row>
    <row r="936">
      <c r="A936" s="11"/>
      <c r="D936" s="12"/>
      <c r="G936" s="11"/>
    </row>
    <row r="937">
      <c r="A937" s="11"/>
      <c r="D937" s="12"/>
      <c r="G937" s="11"/>
    </row>
    <row r="938">
      <c r="A938" s="11"/>
      <c r="D938" s="12"/>
      <c r="G938" s="11"/>
    </row>
    <row r="939">
      <c r="A939" s="11"/>
      <c r="D939" s="12"/>
      <c r="G939" s="11"/>
    </row>
    <row r="940">
      <c r="A940" s="11"/>
      <c r="D940" s="12"/>
      <c r="G940" s="11"/>
    </row>
    <row r="941">
      <c r="A941" s="11"/>
      <c r="D941" s="12"/>
      <c r="G941" s="11"/>
    </row>
    <row r="942">
      <c r="A942" s="11"/>
      <c r="D942" s="12"/>
      <c r="G942" s="11"/>
    </row>
    <row r="943">
      <c r="A943" s="11"/>
      <c r="D943" s="12"/>
      <c r="G943" s="11"/>
    </row>
    <row r="944">
      <c r="A944" s="11"/>
      <c r="D944" s="12"/>
      <c r="G944" s="11"/>
    </row>
    <row r="945">
      <c r="A945" s="11"/>
      <c r="D945" s="12"/>
      <c r="G945" s="11"/>
    </row>
    <row r="946">
      <c r="A946" s="11"/>
      <c r="D946" s="12"/>
      <c r="G946" s="11"/>
    </row>
    <row r="947">
      <c r="A947" s="11"/>
      <c r="D947" s="12"/>
      <c r="G947" s="11"/>
    </row>
    <row r="948">
      <c r="A948" s="11"/>
      <c r="D948" s="12"/>
      <c r="G948" s="11"/>
    </row>
    <row r="949">
      <c r="A949" s="11"/>
      <c r="D949" s="12"/>
      <c r="G949" s="11"/>
    </row>
    <row r="950">
      <c r="A950" s="11"/>
      <c r="D950" s="12"/>
      <c r="G950" s="11"/>
    </row>
    <row r="951">
      <c r="A951" s="11"/>
      <c r="D951" s="12"/>
      <c r="G951" s="11"/>
    </row>
    <row r="952">
      <c r="A952" s="11"/>
      <c r="D952" s="12"/>
      <c r="G952" s="11"/>
    </row>
    <row r="953">
      <c r="A953" s="11"/>
      <c r="D953" s="12"/>
      <c r="G953" s="11"/>
    </row>
    <row r="954">
      <c r="A954" s="11"/>
      <c r="D954" s="12"/>
      <c r="G954" s="11"/>
    </row>
    <row r="955">
      <c r="A955" s="11"/>
      <c r="D955" s="12"/>
      <c r="G955" s="11"/>
    </row>
    <row r="956">
      <c r="A956" s="11"/>
      <c r="D956" s="12"/>
      <c r="G956" s="11"/>
    </row>
    <row r="957">
      <c r="A957" s="11"/>
      <c r="D957" s="12"/>
      <c r="G957" s="11"/>
    </row>
    <row r="958">
      <c r="A958" s="11"/>
      <c r="D958" s="12"/>
      <c r="G958" s="11"/>
    </row>
    <row r="959">
      <c r="A959" s="11"/>
      <c r="D959" s="12"/>
      <c r="G959" s="11"/>
    </row>
    <row r="960">
      <c r="A960" s="11"/>
      <c r="D960" s="12"/>
      <c r="G960" s="11"/>
    </row>
    <row r="961">
      <c r="A961" s="11"/>
      <c r="D961" s="12"/>
      <c r="G961" s="11"/>
    </row>
    <row r="962">
      <c r="A962" s="11"/>
      <c r="D962" s="12"/>
      <c r="G962" s="11"/>
    </row>
    <row r="963">
      <c r="A963" s="11"/>
      <c r="D963" s="12"/>
      <c r="G963" s="11"/>
    </row>
    <row r="964">
      <c r="A964" s="11"/>
      <c r="D964" s="12"/>
      <c r="G964" s="11"/>
    </row>
    <row r="965">
      <c r="A965" s="11"/>
      <c r="D965" s="12"/>
      <c r="G965" s="11"/>
    </row>
    <row r="966">
      <c r="A966" s="11"/>
      <c r="D966" s="12"/>
      <c r="G966" s="11"/>
    </row>
    <row r="967">
      <c r="A967" s="11"/>
      <c r="D967" s="12"/>
      <c r="G967" s="11"/>
    </row>
    <row r="968">
      <c r="A968" s="11"/>
      <c r="D968" s="12"/>
      <c r="G968" s="11"/>
    </row>
    <row r="969">
      <c r="A969" s="11"/>
      <c r="D969" s="12"/>
      <c r="G969" s="11"/>
    </row>
    <row r="970">
      <c r="A970" s="11"/>
      <c r="D970" s="12"/>
      <c r="G970" s="11"/>
    </row>
    <row r="971">
      <c r="A971" s="11"/>
      <c r="D971" s="12"/>
      <c r="G971" s="11"/>
    </row>
    <row r="972">
      <c r="A972" s="11"/>
      <c r="D972" s="12"/>
      <c r="G972" s="11"/>
    </row>
    <row r="973">
      <c r="A973" s="11"/>
      <c r="D973" s="12"/>
      <c r="G973" s="11"/>
    </row>
    <row r="974">
      <c r="A974" s="11"/>
      <c r="D974" s="12"/>
      <c r="G974" s="11"/>
    </row>
    <row r="975">
      <c r="A975" s="11"/>
      <c r="D975" s="12"/>
      <c r="G975" s="11"/>
    </row>
    <row r="976">
      <c r="A976" s="11"/>
      <c r="D976" s="12"/>
      <c r="G976" s="11"/>
    </row>
    <row r="977">
      <c r="A977" s="11"/>
      <c r="D977" s="12"/>
      <c r="G977" s="11"/>
    </row>
    <row r="978">
      <c r="A978" s="11"/>
      <c r="D978" s="12"/>
      <c r="G978" s="11"/>
    </row>
    <row r="979">
      <c r="A979" s="11"/>
      <c r="D979" s="12"/>
      <c r="G979" s="11"/>
    </row>
    <row r="980">
      <c r="A980" s="11"/>
      <c r="D980" s="12"/>
      <c r="G980" s="11"/>
    </row>
    <row r="981">
      <c r="A981" s="11"/>
      <c r="D981" s="12"/>
      <c r="G981" s="11"/>
    </row>
    <row r="982">
      <c r="A982" s="11"/>
      <c r="D982" s="12"/>
      <c r="G982" s="11"/>
    </row>
    <row r="983">
      <c r="A983" s="11"/>
      <c r="D983" s="12"/>
      <c r="G983" s="11"/>
    </row>
    <row r="984">
      <c r="A984" s="11"/>
      <c r="D984" s="12"/>
      <c r="G984" s="11"/>
    </row>
    <row r="985">
      <c r="A985" s="11"/>
      <c r="D985" s="12"/>
      <c r="G985" s="11"/>
    </row>
    <row r="986">
      <c r="A986" s="11"/>
      <c r="D986" s="12"/>
      <c r="G986" s="11"/>
    </row>
    <row r="987">
      <c r="A987" s="11"/>
      <c r="D987" s="12"/>
      <c r="G987" s="11"/>
    </row>
    <row r="988">
      <c r="A988" s="11"/>
      <c r="D988" s="12"/>
      <c r="G988" s="11"/>
    </row>
    <row r="989">
      <c r="A989" s="11"/>
      <c r="D989" s="12"/>
      <c r="G989" s="11"/>
    </row>
    <row r="990">
      <c r="A990" s="11"/>
      <c r="D990" s="12"/>
      <c r="G990" s="11"/>
    </row>
    <row r="991">
      <c r="A991" s="11"/>
      <c r="D991" s="12"/>
      <c r="G991" s="11"/>
    </row>
    <row r="992">
      <c r="A992" s="11"/>
      <c r="D992" s="12"/>
      <c r="G992" s="11"/>
    </row>
    <row r="993">
      <c r="A993" s="11"/>
      <c r="D993" s="12"/>
      <c r="G993" s="11"/>
    </row>
    <row r="994">
      <c r="A994" s="11"/>
      <c r="D994" s="12"/>
      <c r="G994" s="11"/>
    </row>
    <row r="995">
      <c r="A995" s="11"/>
      <c r="D995" s="12"/>
      <c r="G995" s="11"/>
    </row>
    <row r="996">
      <c r="A996" s="11"/>
      <c r="D996" s="12"/>
      <c r="G996" s="11"/>
    </row>
    <row r="997">
      <c r="A997" s="11"/>
      <c r="D997" s="12"/>
      <c r="G997" s="11"/>
    </row>
    <row r="998">
      <c r="A998" s="11"/>
      <c r="D998" s="12"/>
      <c r="G998" s="11"/>
    </row>
    <row r="999">
      <c r="A999" s="11"/>
      <c r="D999" s="12"/>
      <c r="G999" s="11"/>
    </row>
    <row r="1000">
      <c r="A1000" s="11"/>
      <c r="D1000" s="12"/>
      <c r="G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7.5"/>
    <col customWidth="1" min="2" max="2" width="33.0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6.0"/>
  </cols>
  <sheetData>
    <row r="1">
      <c r="A1" s="14" t="s">
        <v>21</v>
      </c>
      <c r="B1" s="15"/>
    </row>
    <row r="2">
      <c r="A2" s="16" t="s">
        <v>22</v>
      </c>
      <c r="B2" s="15">
        <f>SUM(Sheet1!I:I)</f>
        <v>30</v>
      </c>
    </row>
    <row r="3">
      <c r="A3" s="16" t="s">
        <v>23</v>
      </c>
      <c r="B3" s="15">
        <f>SUM(Sheet1!K:K)</f>
        <v>9600</v>
      </c>
    </row>
    <row r="4">
      <c r="A4" s="16" t="s">
        <v>24</v>
      </c>
      <c r="B4" s="15">
        <f>COUNTIF(Sheet1!H:H,"FAULT")</f>
        <v>2</v>
      </c>
    </row>
    <row r="5">
      <c r="A5" s="16" t="s">
        <v>25</v>
      </c>
      <c r="B5" s="15">
        <f>COUNTIF(Sheet1!H:H,"CRITICAL")</f>
        <v>1</v>
      </c>
    </row>
    <row r="6">
      <c r="A6" s="16" t="s">
        <v>26</v>
      </c>
      <c r="B6" s="17">
        <f>AVERAGE(Sheet1!G:G)</f>
        <v>21.36666667</v>
      </c>
    </row>
    <row r="7">
      <c r="A7" s="18"/>
      <c r="B7" s="15"/>
      <c r="G7" s="19" t="s">
        <v>27</v>
      </c>
    </row>
    <row r="8">
      <c r="A8" s="18"/>
      <c r="G8" s="9" t="s">
        <v>28</v>
      </c>
      <c r="H8" s="9" t="s">
        <v>28</v>
      </c>
      <c r="I8" s="20"/>
      <c r="J8" s="20"/>
      <c r="K8" s="20"/>
      <c r="L8" s="20"/>
    </row>
    <row r="9">
      <c r="A9" s="18"/>
      <c r="G9" s="21" t="s">
        <v>29</v>
      </c>
      <c r="H9" s="20"/>
      <c r="I9" s="20"/>
      <c r="J9" s="20"/>
      <c r="K9" s="20"/>
      <c r="L9" s="20"/>
    </row>
    <row r="10">
      <c r="A10" s="18"/>
      <c r="G10" s="21" t="s">
        <v>30</v>
      </c>
      <c r="H10" s="20"/>
      <c r="I10" s="20"/>
      <c r="J10" s="20"/>
      <c r="K10" s="20"/>
      <c r="L10" s="20"/>
    </row>
    <row r="11">
      <c r="A11" s="18"/>
      <c r="G11" s="21" t="s">
        <v>31</v>
      </c>
      <c r="H11" s="20"/>
      <c r="I11" s="20"/>
      <c r="J11" s="20"/>
      <c r="K11" s="20"/>
      <c r="L11" s="20"/>
    </row>
    <row r="12">
      <c r="A12" s="18"/>
      <c r="G12" s="21" t="s">
        <v>32</v>
      </c>
      <c r="H12" s="20"/>
      <c r="I12" s="20"/>
      <c r="J12" s="20"/>
      <c r="K12" s="20"/>
      <c r="L12" s="20"/>
    </row>
    <row r="13">
      <c r="A13" s="18"/>
    </row>
    <row r="14">
      <c r="A14" s="18"/>
    </row>
    <row r="15">
      <c r="A15" s="18"/>
    </row>
    <row r="16">
      <c r="A16" s="18"/>
    </row>
    <row r="17">
      <c r="A17" s="18"/>
    </row>
    <row r="18">
      <c r="A18" s="18"/>
    </row>
    <row r="19">
      <c r="A19" s="18"/>
    </row>
    <row r="20">
      <c r="A20" s="18"/>
    </row>
    <row r="21">
      <c r="A21" s="18"/>
    </row>
    <row r="22">
      <c r="A22" s="18"/>
    </row>
    <row r="23">
      <c r="A23" s="18"/>
    </row>
    <row r="24">
      <c r="A24" s="18"/>
    </row>
    <row r="25">
      <c r="A25" s="18"/>
    </row>
    <row r="26">
      <c r="A26" s="18"/>
    </row>
    <row r="27">
      <c r="A27" s="18"/>
    </row>
    <row r="28">
      <c r="A28" s="18"/>
    </row>
    <row r="29">
      <c r="A29" s="18"/>
    </row>
    <row r="30">
      <c r="A30" s="18"/>
    </row>
    <row r="31">
      <c r="A31" s="18"/>
    </row>
    <row r="32">
      <c r="A32" s="18"/>
    </row>
    <row r="33">
      <c r="A33" s="18"/>
    </row>
    <row r="34">
      <c r="A34" s="18"/>
    </row>
    <row r="35">
      <c r="A35" s="18"/>
    </row>
    <row r="36">
      <c r="A36" s="18"/>
    </row>
    <row r="37">
      <c r="A37" s="18"/>
    </row>
    <row r="38">
      <c r="A38" s="18"/>
    </row>
    <row r="39">
      <c r="A39" s="18"/>
    </row>
    <row r="40">
      <c r="A40" s="18"/>
    </row>
    <row r="41">
      <c r="A41" s="18"/>
    </row>
    <row r="42">
      <c r="A42" s="18"/>
    </row>
    <row r="43">
      <c r="A43" s="18"/>
    </row>
    <row r="44">
      <c r="A44" s="18"/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rawing r:id="rId1"/>
</worksheet>
</file>